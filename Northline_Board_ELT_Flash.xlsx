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Assumptions" sheetId="2" state="visible" r:id="rId2"/>
    <sheet name="02_P&amp;L_Flash" sheetId="3" state="visible" r:id="rId3"/>
    <sheet name="03_KPIs" sheetId="4" state="visible" r:id="rId4"/>
    <sheet name="04_Callouts" sheetId="5" state="visible" r:id="rId5"/>
    <sheet name="05_One_Pager" sheetId="6" state="visible" r:id="rId6"/>
    <sheet name="06_Data_Dictionary" sheetId="7" state="visible" r:id="rId7"/>
  </sheets>
  <definedNames>
    <definedName name="_xlnm.Print_Area" localSheetId="5">'05_One_Pager'!$A$1:$N$35</definedName>
  </definedNames>
  <calcPr calcId="124519" fullCalcOnLoad="1"/>
</workbook>
</file>

<file path=xl/styles.xml><?xml version="1.0" encoding="utf-8"?>
<styleSheet xmlns="http://schemas.openxmlformats.org/spreadsheetml/2006/main">
  <numFmts count="4">
    <numFmt numFmtId="164" formatCode="0.0%"/>
    <numFmt numFmtId="165" formatCode="_($* #,##0_);_($* (#,##0);_($* &quot;-&quot;??_);_(@_)"/>
    <numFmt numFmtId="166" formatCode="#,##0.0"/>
    <numFmt numFmtId="167" formatCode="0.0"/>
  </numFmts>
  <fonts count="16">
    <font>
      <name val="Calibri"/>
      <family val="2"/>
      <color theme="1"/>
      <sz val="11"/>
      <scheme val="minor"/>
    </font>
    <font>
      <name val="Calibri"/>
      <b val="1"/>
      <color rgb="001F4E79"/>
      <sz val="16"/>
    </font>
    <font>
      <name val="Calibri"/>
      <b val="1"/>
      <color rgb="002E75B6"/>
      <sz val="14"/>
    </font>
    <font>
      <name val="Calibri"/>
      <i val="1"/>
      <color rgb="00666666"/>
      <sz val="10"/>
    </font>
    <font>
      <name val="Calibri"/>
      <b val="1"/>
      <color rgb="001F4E79"/>
      <sz val="12"/>
    </font>
    <font>
      <name val="Calibri"/>
      <color rgb="00000000"/>
      <sz val="11"/>
    </font>
    <font>
      <name val="Calibri"/>
      <color rgb="000000FF"/>
      <sz val="11"/>
    </font>
    <font>
      <name val="Calibri"/>
      <b val="1"/>
      <sz val="11"/>
    </font>
    <font>
      <name val="Calibri"/>
      <i val="1"/>
      <color rgb="00666666"/>
      <sz val="9"/>
    </font>
    <font>
      <name val="Calibri"/>
      <b val="1"/>
      <color rgb="00FFFFFF"/>
      <sz val="11"/>
    </font>
    <font>
      <name val="Calibri"/>
      <b val="1"/>
      <color rgb="00000000"/>
      <sz val="11"/>
    </font>
    <font>
      <name val="Calibri"/>
      <b val="1"/>
      <color rgb="00FFFFFF"/>
      <sz val="18"/>
    </font>
    <font>
      <name val="Calibri"/>
      <color rgb="00D6E3F0"/>
      <sz val="11"/>
    </font>
    <font>
      <name val="Calibri"/>
      <b val="1"/>
      <color rgb="001F4E79"/>
      <sz val="9"/>
    </font>
    <font>
      <name val="Calibri"/>
      <b val="1"/>
      <color rgb="00000000"/>
      <sz val="14"/>
    </font>
    <font>
      <name val="Calibri"/>
      <i val="1"/>
      <color rgb="00D6E3F0"/>
      <sz val="8"/>
    </font>
  </fonts>
  <fills count="11">
    <fill>
      <patternFill/>
    </fill>
    <fill>
      <patternFill patternType="gray125"/>
    </fill>
    <fill>
      <patternFill patternType="solid">
        <fgColor rgb="00FFF2CC"/>
      </patternFill>
    </fill>
    <fill>
      <patternFill patternType="solid">
        <fgColor rgb="00C6EFCE"/>
      </patternFill>
    </fill>
    <fill>
      <patternFill patternType="solid">
        <fgColor rgb="00D6E3F0"/>
      </patternFill>
    </fill>
    <fill>
      <patternFill patternType="solid">
        <fgColor rgb="001F4E79"/>
      </patternFill>
    </fill>
    <fill>
      <patternFill patternType="solid">
        <fgColor rgb="002E75B6"/>
      </patternFill>
    </fill>
    <fill>
      <patternFill patternType="solid">
        <fgColor rgb="00FFE699"/>
      </patternFill>
    </fill>
    <fill>
      <patternFill patternType="solid">
        <fgColor rgb="00F8CBAD"/>
      </patternFill>
    </fill>
    <fill>
      <patternFill patternType="solid">
        <fgColor rgb="000D2B4A"/>
      </patternFill>
    </fill>
    <fill>
      <patternFill patternType="solid">
        <fgColor rgb="00E9EDF4"/>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xf numFmtId="0" fontId="5" fillId="0" borderId="0" pivotButton="0" quotePrefix="0" xfId="0"/>
    <xf numFmtId="0" fontId="6" fillId="2" borderId="1" applyAlignment="1" pivotButton="0" quotePrefix="0" xfId="0">
      <alignment horizontal="center"/>
    </xf>
    <xf numFmtId="0" fontId="5" fillId="0" borderId="1" applyAlignment="1" pivotButton="0" quotePrefix="0" xfId="0">
      <alignment horizontal="center"/>
    </xf>
    <xf numFmtId="0" fontId="0" fillId="3" borderId="1" pivotButton="0" quotePrefix="0" xfId="0"/>
    <xf numFmtId="0" fontId="7" fillId="0" borderId="1" pivotButton="0" quotePrefix="0" xfId="0"/>
    <xf numFmtId="0" fontId="0" fillId="0" borderId="1" pivotButton="0" quotePrefix="0" xfId="0"/>
    <xf numFmtId="0" fontId="0" fillId="0" borderId="4" pivotButton="0" quotePrefix="0" xfId="0"/>
    <xf numFmtId="0" fontId="0" fillId="0" borderId="5" pivotButton="0" quotePrefix="0" xfId="0"/>
    <xf numFmtId="0" fontId="8" fillId="0" borderId="0" pivotButton="0" quotePrefix="0" xfId="0"/>
    <xf numFmtId="0" fontId="4" fillId="4" borderId="0" pivotButton="0" quotePrefix="0" xfId="0"/>
    <xf numFmtId="0" fontId="6" fillId="2" borderId="1" applyAlignment="1" pivotButton="0" quotePrefix="0" xfId="0">
      <alignment horizontal="left" wrapText="1"/>
    </xf>
    <xf numFmtId="0" fontId="9" fillId="5" borderId="1" applyAlignment="1" pivotButton="0" quotePrefix="0" xfId="0">
      <alignment horizontal="center" vertical="center" wrapText="1"/>
    </xf>
    <xf numFmtId="164" fontId="6" fillId="2" borderId="1" applyAlignment="1" pivotButton="0" quotePrefix="0" xfId="0">
      <alignment horizontal="center"/>
    </xf>
    <xf numFmtId="0" fontId="8" fillId="0" borderId="1" pivotButton="0" quotePrefix="0" xfId="0"/>
    <xf numFmtId="0" fontId="9" fillId="5" borderId="1" applyAlignment="1" pivotButton="0" quotePrefix="0" xfId="0">
      <alignment horizontal="center"/>
    </xf>
    <xf numFmtId="0" fontId="0" fillId="5" borderId="1" pivotButton="0" quotePrefix="0" xfId="0"/>
    <xf numFmtId="0" fontId="9" fillId="6" borderId="1" applyAlignment="1" pivotButton="0" quotePrefix="0" xfId="0">
      <alignment horizontal="center"/>
    </xf>
    <xf numFmtId="0" fontId="0" fillId="6" borderId="1" pivotButton="0" quotePrefix="0" xfId="0"/>
    <xf numFmtId="165" fontId="6" fillId="2" borderId="1" applyAlignment="1" pivotButton="0" quotePrefix="0" xfId="0">
      <alignment horizontal="center"/>
    </xf>
    <xf numFmtId="164" fontId="5" fillId="0" borderId="1" applyAlignment="1" pivotButton="0" quotePrefix="0" xfId="0">
      <alignment horizontal="center"/>
    </xf>
    <xf numFmtId="164" fontId="10" fillId="3" borderId="1" applyAlignment="1" pivotButton="0" quotePrefix="0" xfId="0">
      <alignment horizontal="center"/>
    </xf>
    <xf numFmtId="0" fontId="5" fillId="0" borderId="1" pivotButton="0" quotePrefix="0" xfId="0"/>
    <xf numFmtId="0" fontId="10" fillId="3" borderId="1" pivotButton="0" quotePrefix="0" xfId="0"/>
    <xf numFmtId="165" fontId="10" fillId="3" borderId="1" applyAlignment="1" pivotButton="0" quotePrefix="0" xfId="0">
      <alignment horizontal="center"/>
    </xf>
    <xf numFmtId="0" fontId="10" fillId="0" borderId="1" pivotButton="0" quotePrefix="0" xfId="0"/>
    <xf numFmtId="165" fontId="5" fillId="0" borderId="1" applyAlignment="1" pivotButton="0" quotePrefix="0" xfId="0">
      <alignment horizontal="center"/>
    </xf>
    <xf numFmtId="0" fontId="10" fillId="3" borderId="1" applyAlignment="1" pivotButton="0" quotePrefix="0" xfId="0">
      <alignment horizontal="center"/>
    </xf>
    <xf numFmtId="166" fontId="6" fillId="2" borderId="1" applyAlignment="1" pivotButton="0" quotePrefix="0" xfId="0">
      <alignment horizontal="center"/>
    </xf>
    <xf numFmtId="166" fontId="5" fillId="0" borderId="1" applyAlignment="1" pivotButton="0" quotePrefix="0" xfId="0">
      <alignment horizontal="center"/>
    </xf>
    <xf numFmtId="0" fontId="5" fillId="7" borderId="1" applyAlignment="1" pivotButton="0" quotePrefix="0" xfId="0">
      <alignment horizontal="center"/>
    </xf>
    <xf numFmtId="0" fontId="5" fillId="8" borderId="1" applyAlignment="1" pivotButton="0" quotePrefix="0" xfId="0">
      <alignment horizontal="center"/>
    </xf>
    <xf numFmtId="0" fontId="9" fillId="5" borderId="1" pivotButton="0" quotePrefix="0" xfId="0"/>
    <xf numFmtId="0" fontId="7" fillId="0" borderId="0" pivotButton="0" quotePrefix="0" xfId="0"/>
    <xf numFmtId="0" fontId="11" fillId="9" borderId="0" applyAlignment="1" pivotButton="0" quotePrefix="0" xfId="0">
      <alignment horizontal="left" vertical="center"/>
    </xf>
    <xf numFmtId="0" fontId="12" fillId="9" borderId="0" pivotButton="0" quotePrefix="0" xfId="0"/>
    <xf numFmtId="0" fontId="13" fillId="10" borderId="1" applyAlignment="1" pivotButton="0" quotePrefix="0" xfId="0">
      <alignment horizontal="center"/>
    </xf>
    <xf numFmtId="165" fontId="14" fillId="0" borderId="1" applyAlignment="1" pivotButton="0" quotePrefix="0" xfId="0">
      <alignment horizontal="center"/>
    </xf>
    <xf numFmtId="164" fontId="14" fillId="0" borderId="1" applyAlignment="1" pivotButton="0" quotePrefix="0" xfId="0">
      <alignment horizontal="center"/>
    </xf>
    <xf numFmtId="166" fontId="14" fillId="0" borderId="1" applyAlignment="1" pivotButton="0" quotePrefix="0" xfId="0">
      <alignment horizontal="center"/>
    </xf>
    <xf numFmtId="0" fontId="10" fillId="0" borderId="1" applyAlignment="1" pivotButton="0" quotePrefix="0" xfId="0">
      <alignment horizontal="center"/>
    </xf>
    <xf numFmtId="167" fontId="5" fillId="0" borderId="1" applyAlignment="1" pivotButton="0" quotePrefix="0" xfId="0">
      <alignment horizontal="center"/>
    </xf>
    <xf numFmtId="0" fontId="7" fillId="4" borderId="1" pivotButton="0" quotePrefix="0" xfId="0"/>
    <xf numFmtId="0" fontId="5" fillId="0" borderId="1" applyAlignment="1" pivotButton="0" quotePrefix="0" xfId="0">
      <alignment vertical="center" wrapText="1"/>
    </xf>
    <xf numFmtId="0" fontId="15" fillId="9" borderId="0" applyAlignment="1" pivotButton="0" quotePrefix="0" xfId="0">
      <alignment horizontal="left" vertical="center"/>
    </xf>
    <xf numFmtId="165" fontId="0" fillId="0" borderId="0" pivotButton="0" quotePrefix="0" xfId="0"/>
    <xf numFmtId="0" fontId="0" fillId="0" borderId="1" applyAlignment="1" pivotButton="0" quotePrefix="0" xfId="0">
      <alignment vertical="center" wrapText="1"/>
    </xf>
  </cellXfs>
  <cellStyles count="1">
    <cellStyle name="Normal" xfId="0" builtinId="0" hidden="0"/>
  </cellStyles>
  <dxfs count="3">
    <dxf>
      <fill>
        <patternFill patternType="solid">
          <fgColor rgb="00C6EFCE"/>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Close month: Act vs Bud</a:t>
            </a:r>
          </a:p>
        </rich>
      </tx>
    </title>
    <plotArea>
      <barChart>
        <barDir val="col"/>
        <grouping val="clustered"/>
        <ser>
          <idx val="0"/>
          <order val="0"/>
          <tx>
            <strRef>
              <f>'05_One_Pager'!J26</f>
            </strRef>
          </tx>
          <spPr>
            <a:ln>
              <a:prstDash val="solid"/>
            </a:ln>
          </spPr>
          <cat>
            <numRef>
              <f>'05_One_Pager'!$I$27:$I$29</f>
            </numRef>
          </cat>
          <val>
            <numRef>
              <f>'05_One_Pager'!$J$27:$J$29</f>
            </numRef>
          </val>
        </ser>
        <ser>
          <idx val="1"/>
          <order val="1"/>
          <tx>
            <strRef>
              <f>'05_One_Pager'!K26</f>
            </strRef>
          </tx>
          <spPr>
            <a:ln>
              <a:prstDash val="solid"/>
            </a:ln>
          </spPr>
          <cat>
            <numRef>
              <f>'05_One_Pager'!$I$27:$I$29</f>
            </numRef>
          </cat>
          <val>
            <numRef>
              <f>'05_One_Pager'!$K$27:$K$29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$000s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29</row>
      <rowOff>0</rowOff>
    </from>
    <ext cx="3600000" cy="21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B2:E31"/>
  <sheetViews>
    <sheetView showGridLines="0" workbookViewId="0">
      <selection activeCell="A1" sqref="A1"/>
    </sheetView>
  </sheetViews>
  <sheetFormatPr baseColWidth="8" defaultRowHeight="15"/>
  <cols>
    <col width="3" customWidth="1" min="1" max="1"/>
    <col width="22" customWidth="1" min="2" max="2"/>
    <col width="55" customWidth="1" min="3" max="3"/>
    <col width="18" customWidth="1" min="4" max="4"/>
    <col width="18" customWidth="1" min="5" max="5"/>
  </cols>
  <sheetData>
    <row r="2">
      <c r="B2" s="1" t="inlineStr">
        <is>
          <t>NORTHLINE CONSUMER PRODUCTS</t>
        </is>
      </c>
    </row>
    <row r="3">
      <c r="B3" s="2" t="inlineStr">
        <is>
          <t>Board / ELT Flash — Monthly Close One-Pager</t>
        </is>
      </c>
    </row>
    <row r="4">
      <c r="B4" s="3" t="inlineStr">
        <is>
          <t>Fictional CPG portfolio sample  ·  figures in $000s  ·  formulas only (no VBA)</t>
        </is>
      </c>
    </row>
    <row r="6">
      <c r="B6" s="4" t="inlineStr">
        <is>
          <t>Purpose</t>
        </is>
      </c>
    </row>
    <row r="7" ht="40" customHeight="1">
      <c r="B7" s="5" t="inlineStr">
        <is>
          <t>A print-ready ELT flash you can put in front of the executive team five minutes after close. Actual vs Budget vs Forecast for the close month and YTD, board KPIs with RAG, and structured callouts.</t>
        </is>
      </c>
    </row>
    <row r="9">
      <c r="B9" s="4" t="inlineStr">
        <is>
          <t>How to use</t>
        </is>
      </c>
    </row>
    <row r="10">
      <c r="B10" s="6" t="inlineStr">
        <is>
          <t>1. Open 01_Assumptions — set the close month and edit headline drivers (yellow / blue).</t>
        </is>
      </c>
    </row>
    <row r="11">
      <c r="B11" s="6" t="inlineStr">
        <is>
          <t>2. Review 02_P&amp;L_Flash — Actual / Budget / Forecast for month and YTD ($ and %).</t>
        </is>
      </c>
    </row>
    <row r="12">
      <c r="B12" s="6" t="inlineStr">
        <is>
          <t>3. Check 03_KPIs — 7 board KPIs with RAG vs plan.</t>
        </is>
      </c>
    </row>
    <row r="13">
      <c r="B13" s="6" t="inlineStr">
        <is>
          <t>4. Update 04_Callouts — yellow commentary boxes for the ELT narrative.</t>
        </is>
      </c>
    </row>
    <row r="14">
      <c r="B14" s="6" t="inlineStr">
        <is>
          <t>5. Print / PDF 05_One_Pager — the money tab. One landscape page for the ELT pack.</t>
        </is>
      </c>
    </row>
    <row r="16">
      <c r="B16" s="4" t="inlineStr">
        <is>
          <t>Color convention</t>
        </is>
      </c>
    </row>
    <row r="17">
      <c r="B17" s="7" t="inlineStr">
        <is>
          <t>Yellow fill + blue font</t>
        </is>
      </c>
      <c r="C17" s="6">
        <f> inputs (edit these)</f>
        <v/>
      </c>
    </row>
    <row r="18">
      <c r="B18" s="8" t="inlineStr">
        <is>
          <t>Black font</t>
        </is>
      </c>
      <c r="C18" s="6">
        <f> formulas (do not overwrite)</f>
        <v/>
      </c>
    </row>
    <row r="19">
      <c r="B19" s="9" t="inlineStr">
        <is>
          <t>Green / Amber / Red</t>
        </is>
      </c>
      <c r="C19" s="6">
        <f> RAG status (formula-driven)</f>
        <v/>
      </c>
    </row>
    <row r="21">
      <c r="B21" s="4" t="inlineStr">
        <is>
          <t>Tabs</t>
        </is>
      </c>
    </row>
    <row r="22">
      <c r="B22" s="10" t="inlineStr">
        <is>
          <t>00_Cover</t>
        </is>
      </c>
      <c r="C22" s="11" t="inlineStr">
        <is>
          <t>Purpose and navigation</t>
        </is>
      </c>
      <c r="D22" s="12" t="n"/>
      <c r="E22" s="13" t="n"/>
    </row>
    <row r="23">
      <c r="B23" s="10" t="inlineStr">
        <is>
          <t>01_Assumptions</t>
        </is>
      </c>
      <c r="C23" s="11" t="inlineStr">
        <is>
          <t>Close month, headlines, RAG bands</t>
        </is>
      </c>
      <c r="D23" s="12" t="n"/>
      <c r="E23" s="13" t="n"/>
    </row>
    <row r="24">
      <c r="B24" s="10" t="inlineStr">
        <is>
          <t>02_P&amp;L_Flash</t>
        </is>
      </c>
      <c r="C24" s="11" t="inlineStr">
        <is>
          <t>P&amp;L Actual / Budget / Forecast — $ and %</t>
        </is>
      </c>
      <c r="D24" s="12" t="n"/>
      <c r="E24" s="13" t="n"/>
    </row>
    <row r="25">
      <c r="B25" s="10" t="inlineStr">
        <is>
          <t>03_KPIs</t>
        </is>
      </c>
      <c r="C25" s="11" t="inlineStr">
        <is>
          <t>Board KPIs with RAG</t>
        </is>
      </c>
      <c r="D25" s="12" t="n"/>
      <c r="E25" s="13" t="n"/>
    </row>
    <row r="26">
      <c r="B26" s="10" t="inlineStr">
        <is>
          <t>04_Callouts</t>
        </is>
      </c>
      <c r="C26" s="11" t="inlineStr">
        <is>
          <t>ELT commentary inputs</t>
        </is>
      </c>
      <c r="D26" s="12" t="n"/>
      <c r="E26" s="13" t="n"/>
    </row>
    <row r="27">
      <c r="B27" s="10" t="inlineStr">
        <is>
          <t>05_One_Pager</t>
        </is>
      </c>
      <c r="C27" s="11" t="inlineStr">
        <is>
          <t>Print-ready one-pager (the money tab)</t>
        </is>
      </c>
      <c r="D27" s="12" t="n"/>
      <c r="E27" s="13" t="n"/>
    </row>
    <row r="28">
      <c r="B28" s="10" t="inlineStr">
        <is>
          <t>06_Data_Dictionary</t>
        </is>
      </c>
      <c r="C28" s="11" t="inlineStr">
        <is>
          <t>Field definitions</t>
        </is>
      </c>
      <c r="D28" s="12" t="n"/>
      <c r="E28" s="13" t="n"/>
    </row>
    <row r="30">
      <c r="B30" s="14" t="inlineStr">
        <is>
          <t>Sai Siri Bandaru — Financial Analyst | FP&amp;A | forecasting, variance analysis, Excel</t>
        </is>
      </c>
    </row>
    <row r="31">
      <c r="B31" s="14" t="inlineStr">
        <is>
          <t>All sample numbers are fictional. No employer data.</t>
        </is>
      </c>
    </row>
  </sheetData>
  <mergeCells count="16">
    <mergeCell ref="C28:E28"/>
    <mergeCell ref="C27:E27"/>
    <mergeCell ref="B4:E4"/>
    <mergeCell ref="B12:E12"/>
    <mergeCell ref="B13:E13"/>
    <mergeCell ref="C23:E23"/>
    <mergeCell ref="C22:E22"/>
    <mergeCell ref="B7:E7"/>
    <mergeCell ref="B11:E11"/>
    <mergeCell ref="C26:E26"/>
    <mergeCell ref="B3:E3"/>
    <mergeCell ref="B2:E2"/>
    <mergeCell ref="B10:E10"/>
    <mergeCell ref="C25:E25"/>
    <mergeCell ref="B14:E14"/>
    <mergeCell ref="C24:E24"/>
  </mergeCells>
  <pageMargins left="0.75" right="0.75" top="1" bottom="1" header="0.5" footer="0.5"/>
  <pageSetup orientation="landscape" paperSize="1" fitToHeight="1" fitToWidth="1"/>
  <headerFooter>
    <oddHeader/>
    <oddFooter>&amp;LNorthline Consumer Products  |  fictional sample  |  $000s&amp;RCONFIDENTIAL — portfolio sample</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2:H30"/>
  <sheetViews>
    <sheetView showGridLines="0" workbookViewId="0">
      <selection activeCell="A1" sqref="A1"/>
    </sheetView>
  </sheetViews>
  <sheetFormatPr baseColWidth="8" defaultRowHeight="15"/>
  <cols>
    <col width="3" customWidth="1" min="1" max="1"/>
    <col width="28" customWidth="1" min="2" max="2"/>
    <col width="14" customWidth="1" min="3" max="3"/>
    <col width="14" customWidth="1" min="4" max="4"/>
    <col width="14" customWidth="1" min="5" max="5"/>
    <col width="14" customWidth="1" min="6" max="6"/>
    <col width="14" customWidth="1" min="7" max="7"/>
    <col width="14" customWidth="1" min="8" max="8"/>
    <col width="40" customWidth="1" min="9" max="9"/>
  </cols>
  <sheetData>
    <row r="2">
      <c r="B2" s="1" t="inlineStr">
        <is>
          <t>01  ·  Assumptions</t>
        </is>
      </c>
    </row>
    <row r="3">
      <c r="B3" s="3" t="inlineStr">
        <is>
          <t>Yellow cells are inputs. Close month drives INDEX lookups on the P&amp;L and one-pager.</t>
        </is>
      </c>
    </row>
    <row r="5">
      <c r="B5" s="15" t="inlineStr">
        <is>
          <t>Reporting</t>
        </is>
      </c>
    </row>
    <row r="6">
      <c r="B6" t="inlineStr">
        <is>
          <t>Close month (1–12)</t>
        </is>
      </c>
      <c r="C6" s="7" t="n">
        <v>8</v>
      </c>
      <c r="D6" s="8">
        <f>IF(OR(C6&lt;1,C6&gt;12),"Check month",INDEX({"Jan","Feb","Mar","Apr","May","Jun","Jul","Aug","Sep","Oct","Nov","Dec"},C6)&amp;"-26")</f>
        <v/>
      </c>
      <c r="E6" s="14" t="inlineStr">
        <is>
          <t>← displayed label</t>
        </is>
      </c>
    </row>
    <row r="7">
      <c r="B7" t="inlineStr">
        <is>
          <t>Fiscal year</t>
        </is>
      </c>
      <c r="C7" s="7" t="inlineStr">
        <is>
          <t>FY26</t>
        </is>
      </c>
    </row>
    <row r="8">
      <c r="B8" t="inlineStr">
        <is>
          <t>Company</t>
        </is>
      </c>
      <c r="C8" s="7" t="inlineStr">
        <is>
          <t>Northline Consumer Products</t>
        </is>
      </c>
      <c r="D8" s="12" t="n"/>
      <c r="E8" s="13" t="n"/>
    </row>
    <row r="9">
      <c r="B9" t="inlineStr">
        <is>
          <t>Units</t>
        </is>
      </c>
      <c r="C9" s="7" t="inlineStr">
        <is>
          <t>$000s</t>
        </is>
      </c>
    </row>
    <row r="10">
      <c r="B10" t="inlineStr">
        <is>
          <t>Prepared by</t>
        </is>
      </c>
      <c r="C10" s="7" t="inlineStr">
        <is>
          <t>FP&amp;A</t>
        </is>
      </c>
    </row>
    <row r="11">
      <c r="B11" t="inlineStr">
        <is>
          <t>As-of date</t>
        </is>
      </c>
      <c r="C11" s="7" t="inlineStr">
        <is>
          <t>2026-09-03</t>
        </is>
      </c>
    </row>
    <row r="13">
      <c r="B13" s="15" t="inlineStr">
        <is>
          <t>Headlines (edit for the pack)</t>
        </is>
      </c>
    </row>
    <row r="14" ht="28" customHeight="1">
      <c r="B14" s="10" t="inlineStr">
        <is>
          <t>Headline 1</t>
        </is>
      </c>
      <c r="C14" s="16" t="inlineStr">
        <is>
          <t>Revenue +0.9% vs budget in Aug; YTD +0.9% — volume and mix both ahead.</t>
        </is>
      </c>
      <c r="D14" s="12" t="n"/>
      <c r="E14" s="12" t="n"/>
      <c r="F14" s="12" t="n"/>
      <c r="G14" s="12" t="n"/>
      <c r="H14" s="13" t="n"/>
    </row>
    <row r="15" ht="28" customHeight="1">
      <c r="B15" s="10" t="inlineStr">
        <is>
          <t>Headline 2</t>
        </is>
      </c>
      <c r="C15" s="16" t="inlineStr">
        <is>
          <t>Gross margin 42.4% vs 43.0% budget — commodity and freight pressure, partially offset by price.</t>
        </is>
      </c>
      <c r="D15" s="12" t="n"/>
      <c r="E15" s="12" t="n"/>
      <c r="F15" s="12" t="n"/>
      <c r="G15" s="12" t="n"/>
      <c r="H15" s="13" t="n"/>
    </row>
    <row r="16" ht="28" customHeight="1">
      <c r="B16" s="10" t="inlineStr">
        <is>
          <t>Headline 3</t>
        </is>
      </c>
      <c r="C16" s="16" t="inlineStr">
        <is>
          <t>EBITDA $11.2M vs $10.8M budget (+4.1%) — opex discipline and lower scrap.</t>
        </is>
      </c>
      <c r="D16" s="12" t="n"/>
      <c r="E16" s="12" t="n"/>
      <c r="F16" s="12" t="n"/>
      <c r="G16" s="12" t="n"/>
      <c r="H16" s="13" t="n"/>
    </row>
    <row r="17" ht="28" customHeight="1">
      <c r="B17" s="10" t="inlineStr">
        <is>
          <t>Headline 4</t>
        </is>
      </c>
      <c r="C17" s="16" t="inlineStr">
        <is>
          <t>Cash conversion solid; DSO 41 days (−1 vs plan). Capex on track.</t>
        </is>
      </c>
      <c r="D17" s="12" t="n"/>
      <c r="E17" s="12" t="n"/>
      <c r="F17" s="12" t="n"/>
      <c r="G17" s="12" t="n"/>
      <c r="H17" s="13" t="n"/>
    </row>
    <row r="18" ht="28" customHeight="1">
      <c r="B18" s="10" t="inlineStr">
        <is>
          <t>Watch item</t>
        </is>
      </c>
      <c r="C18" s="16" t="inlineStr">
        <is>
          <t>Q4 promo calendar heavy — protect AUR and trade spend ROI.</t>
        </is>
      </c>
      <c r="D18" s="12" t="n"/>
      <c r="E18" s="12" t="n"/>
      <c r="F18" s="12" t="n"/>
      <c r="G18" s="12" t="n"/>
      <c r="H18" s="13" t="n"/>
    </row>
    <row r="20">
      <c r="B20" s="15" t="inlineStr">
        <is>
          <t>RAG bands (board KPIs)</t>
        </is>
      </c>
    </row>
    <row r="21">
      <c r="B21" s="17" t="inlineStr">
        <is>
          <t>KPI</t>
        </is>
      </c>
      <c r="C21" s="17" t="inlineStr">
        <is>
          <t>Direction</t>
        </is>
      </c>
      <c r="D21" s="17" t="inlineStr">
        <is>
          <t>Amber band</t>
        </is>
      </c>
      <c r="E21" s="17" t="inlineStr">
        <is>
          <t>Green band</t>
        </is>
      </c>
      <c r="F21" s="17" t="inlineStr">
        <is>
          <t>Notes</t>
        </is>
      </c>
    </row>
    <row r="22">
      <c r="B22" s="11" t="inlineStr">
        <is>
          <t>Net revenue vs budget</t>
        </is>
      </c>
      <c r="C22" s="7" t="inlineStr">
        <is>
          <t>H</t>
        </is>
      </c>
      <c r="D22" s="18" t="n">
        <v>0.02</v>
      </c>
      <c r="E22" s="18" t="n">
        <v>0</v>
      </c>
      <c r="F22" s="19" t="inlineStr">
        <is>
          <t>Green if ≥ budget; Amber if within −2%</t>
        </is>
      </c>
    </row>
    <row r="23">
      <c r="B23" s="11" t="inlineStr">
        <is>
          <t>Gross margin %</t>
        </is>
      </c>
      <c r="C23" s="7" t="inlineStr">
        <is>
          <t>H</t>
        </is>
      </c>
      <c r="D23" s="18" t="n">
        <v>0.015</v>
      </c>
      <c r="E23" s="18" t="n">
        <v>0.005</v>
      </c>
      <c r="F23" s="19" t="inlineStr">
        <is>
          <t>pp vs budget</t>
        </is>
      </c>
    </row>
    <row r="24">
      <c r="B24" s="11" t="inlineStr">
        <is>
          <t>EBITDA vs budget</t>
        </is>
      </c>
      <c r="C24" s="7" t="inlineStr">
        <is>
          <t>H</t>
        </is>
      </c>
      <c r="D24" s="18" t="n">
        <v>0.05</v>
      </c>
      <c r="E24" s="18" t="n">
        <v>0</v>
      </c>
      <c r="F24" s="19" t="inlineStr">
        <is>
          <t>Green if ≥ budget</t>
        </is>
      </c>
    </row>
    <row r="25">
      <c r="B25" s="11" t="inlineStr">
        <is>
          <t>Volume (000 cases)</t>
        </is>
      </c>
      <c r="C25" s="7" t="inlineStr">
        <is>
          <t>H</t>
        </is>
      </c>
      <c r="D25" s="18" t="n">
        <v>0.03</v>
      </c>
      <c r="E25" s="18" t="n">
        <v>0</v>
      </c>
      <c r="F25" s="19" t="inlineStr">
        <is>
          <t>vs budget</t>
        </is>
      </c>
    </row>
    <row r="26">
      <c r="B26" s="11" t="inlineStr">
        <is>
          <t>OTIF %</t>
        </is>
      </c>
      <c r="C26" s="7" t="inlineStr">
        <is>
          <t>H</t>
        </is>
      </c>
      <c r="D26" s="18" t="n">
        <v>0.02</v>
      </c>
      <c r="E26" s="18" t="n">
        <v>0.01</v>
      </c>
      <c r="F26" s="19" t="inlineStr">
        <is>
          <t>On-time in-full</t>
        </is>
      </c>
    </row>
    <row r="27">
      <c r="B27" s="11" t="inlineStr">
        <is>
          <t>DSO (days)</t>
        </is>
      </c>
      <c r="C27" s="7" t="inlineStr">
        <is>
          <t>L</t>
        </is>
      </c>
      <c r="D27" s="18" t="n">
        <v>0.05</v>
      </c>
      <c r="E27" s="18" t="n">
        <v>0.02</v>
      </c>
      <c r="F27" s="19" t="inlineStr">
        <is>
          <t>Lower better</t>
        </is>
      </c>
    </row>
    <row r="28">
      <c r="B28" s="11" t="inlineStr">
        <is>
          <t>Operating cash flow</t>
        </is>
      </c>
      <c r="C28" s="7" t="inlineStr">
        <is>
          <t>H</t>
        </is>
      </c>
      <c r="D28" s="18" t="n">
        <v>0.08</v>
      </c>
      <c r="E28" s="18" t="n">
        <v>0</v>
      </c>
      <c r="F28" s="19" t="inlineStr">
        <is>
          <t>vs budget</t>
        </is>
      </c>
    </row>
    <row r="30">
      <c r="B30" s="14" t="inlineStr">
        <is>
          <t>Direction: H = higher-better, L = lower-better. Bands are relative to plan.</t>
        </is>
      </c>
    </row>
  </sheetData>
  <mergeCells count="9">
    <mergeCell ref="B20:E20"/>
    <mergeCell ref="C16:H16"/>
    <mergeCell ref="C14:H14"/>
    <mergeCell ref="B13:E13"/>
    <mergeCell ref="B5:C5"/>
    <mergeCell ref="C8:E8"/>
    <mergeCell ref="C18:H18"/>
    <mergeCell ref="C17:H17"/>
    <mergeCell ref="C15:H15"/>
  </mergeCells>
  <pageMargins left="0.75" right="0.75" top="1" bottom="1" header="0.5" footer="0.5"/>
  <pageSetup orientation="landscape" paperSize="1" fitToHeight="1" fitToWidth="1"/>
  <headerFooter>
    <oddHeader/>
    <oddFooter>&amp;LNorthline Consumer Products  |  fictional sample  |  $000s&amp;RCONFIDENTIAL — portfolio sample</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2:N26"/>
  <sheetViews>
    <sheetView showGridLines="0" workbookViewId="0">
      <selection activeCell="A1" sqref="A1"/>
    </sheetView>
  </sheetViews>
  <sheetFormatPr baseColWidth="8" defaultRowHeight="15"/>
  <cols>
    <col width="3" customWidth="1" min="1" max="1"/>
    <col width="24" customWidth="1" min="2" max="2"/>
    <col width="12" customWidth="1" min="3" max="3"/>
    <col width="12" customWidth="1" min="4" max="4"/>
    <col width="12" customWidth="1" min="5" max="5"/>
    <col width="10" customWidth="1" min="6" max="6"/>
    <col width="10" customWidth="1" min="7" max="7"/>
    <col width="12" customWidth="1" min="8" max="8"/>
    <col width="12" customWidth="1" min="9" max="9"/>
    <col width="12" customWidth="1" min="10" max="10"/>
    <col width="10" customWidth="1" min="11" max="11"/>
    <col width="10" customWidth="1" min="12" max="12"/>
    <col width="3" customWidth="1" min="13" max="13"/>
    <col width="14" customWidth="1" min="14" max="14"/>
  </cols>
  <sheetData>
    <row r="2">
      <c r="B2" s="1" t="inlineStr">
        <is>
          <t>02  ·  P&amp;L Flash</t>
        </is>
      </c>
    </row>
    <row r="3">
      <c r="B3" s="3">
        <f>'01_Assumptions'!D6&amp;" close  ·  Actual / Budget / Forecast  ·  $000s"</f>
        <v/>
      </c>
    </row>
    <row r="5">
      <c r="C5" s="20" t="inlineStr">
        <is>
          <t>Close month</t>
        </is>
      </c>
      <c r="D5" s="21" t="n"/>
      <c r="E5" s="21" t="n"/>
      <c r="F5" s="21" t="n"/>
      <c r="G5" s="21" t="n"/>
      <c r="H5" s="22" t="inlineStr">
        <is>
          <t>YTD</t>
        </is>
      </c>
      <c r="I5" s="23" t="n"/>
      <c r="J5" s="23" t="n"/>
      <c r="K5" s="23" t="n"/>
      <c r="L5" s="23" t="n"/>
      <c r="N5" s="4" t="inlineStr">
        <is>
          <t>Gross margin %</t>
        </is>
      </c>
    </row>
    <row r="6" ht="30" customHeight="1">
      <c r="B6" s="17" t="inlineStr">
        <is>
          <t>Line</t>
        </is>
      </c>
      <c r="C6" s="17" t="inlineStr">
        <is>
          <t>Actual</t>
        </is>
      </c>
      <c r="D6" s="17" t="inlineStr">
        <is>
          <t>Budget</t>
        </is>
      </c>
      <c r="E6" s="17" t="inlineStr">
        <is>
          <t>Forecast</t>
        </is>
      </c>
      <c r="F6" s="17" t="inlineStr">
        <is>
          <t>A vs B %</t>
        </is>
      </c>
      <c r="G6" s="17" t="inlineStr">
        <is>
          <t>A vs F %</t>
        </is>
      </c>
      <c r="H6" s="17" t="inlineStr">
        <is>
          <t>Actual</t>
        </is>
      </c>
      <c r="I6" s="17" t="inlineStr">
        <is>
          <t>Budget</t>
        </is>
      </c>
      <c r="J6" s="17" t="inlineStr">
        <is>
          <t>Forecast</t>
        </is>
      </c>
      <c r="K6" s="17" t="inlineStr">
        <is>
          <t>A vs B %</t>
        </is>
      </c>
      <c r="L6" s="17" t="inlineStr">
        <is>
          <t>A vs F %</t>
        </is>
      </c>
      <c r="N6" s="17" t="inlineStr">
        <is>
          <t>Mo Act GM%</t>
        </is>
      </c>
    </row>
    <row r="7">
      <c r="B7" s="10" t="inlineStr">
        <is>
          <t>Net revenue</t>
        </is>
      </c>
      <c r="C7" s="24" t="n">
        <v>80500</v>
      </c>
      <c r="D7" s="24" t="n">
        <v>79800</v>
      </c>
      <c r="E7" s="24" t="n">
        <v>81000</v>
      </c>
      <c r="F7" s="25">
        <f>IF(D7=0,0,(C7-D7)/ABS(D7))</f>
        <v/>
      </c>
      <c r="G7" s="25">
        <f>IF(E7=0,0,(C7-E7)/ABS(E7))</f>
        <v/>
      </c>
      <c r="H7" s="24" t="n">
        <v>604100</v>
      </c>
      <c r="I7" s="24" t="n">
        <v>598800</v>
      </c>
      <c r="J7" s="24" t="n">
        <v>606500</v>
      </c>
      <c r="K7" s="25">
        <f>IF(I7=0,0,(H7-I7)/ABS(I7))</f>
        <v/>
      </c>
      <c r="L7" s="25">
        <f>IF(J7=0,0,(H7-J7)/ABS(J7))</f>
        <v/>
      </c>
      <c r="N7" s="26">
        <f>IF(C7=0,0,C9/C7)</f>
        <v/>
      </c>
    </row>
    <row r="8">
      <c r="B8" s="27" t="inlineStr">
        <is>
          <t>Cost of goods sold</t>
        </is>
      </c>
      <c r="C8" s="24" t="n">
        <v>46370</v>
      </c>
      <c r="D8" s="24" t="n">
        <v>45486</v>
      </c>
      <c r="E8" s="24" t="n">
        <v>46200</v>
      </c>
      <c r="F8" s="25">
        <f>IF(D8=0,0,(C8-D8)/ABS(D8))</f>
        <v/>
      </c>
      <c r="G8" s="25">
        <f>IF(E8=0,0,(C8-E8)/ABS(E8))</f>
        <v/>
      </c>
      <c r="H8" s="24" t="n">
        <v>348500</v>
      </c>
      <c r="I8" s="24" t="n">
        <v>343200</v>
      </c>
      <c r="J8" s="24" t="n">
        <v>347800</v>
      </c>
      <c r="K8" s="25">
        <f>IF(I8=0,0,(H8-I8)/ABS(I8))</f>
        <v/>
      </c>
      <c r="L8" s="25">
        <f>IF(J8=0,0,(H8-J8)/ABS(J8))</f>
        <v/>
      </c>
      <c r="N8" s="14" t="inlineStr">
        <is>
          <t>Mo Bud GM%</t>
        </is>
      </c>
    </row>
    <row r="9">
      <c r="B9" s="28" t="inlineStr">
        <is>
          <t>Gross profit</t>
        </is>
      </c>
      <c r="C9" s="29">
        <f>C7-C8</f>
        <v/>
      </c>
      <c r="D9" s="29">
        <f>D7-D8</f>
        <v/>
      </c>
      <c r="E9" s="29">
        <f>E7-E8</f>
        <v/>
      </c>
      <c r="F9" s="26">
        <f>IF(D9=0,0,(C9-D9)/ABS(D9))</f>
        <v/>
      </c>
      <c r="G9" s="26">
        <f>IF(E9=0,0,(C9-E9)/ABS(E9))</f>
        <v/>
      </c>
      <c r="H9" s="29">
        <f>H7-H8</f>
        <v/>
      </c>
      <c r="I9" s="29">
        <f>I7-I8</f>
        <v/>
      </c>
      <c r="J9" s="29">
        <f>J7-J8</f>
        <v/>
      </c>
      <c r="K9" s="26">
        <f>IF(I9=0,0,(H9-I9)/ABS(I9))</f>
        <v/>
      </c>
      <c r="L9" s="26">
        <f>IF(J9=0,0,(H9-J9)/ABS(J9))</f>
        <v/>
      </c>
      <c r="N9" s="25">
        <f>IF(D7=0,0,D9/D7)</f>
        <v/>
      </c>
    </row>
    <row r="10">
      <c r="B10" s="27" t="inlineStr">
        <is>
          <t xml:space="preserve">  SG&amp;A</t>
        </is>
      </c>
      <c r="C10" s="24" t="n">
        <v>15050</v>
      </c>
      <c r="D10" s="24" t="n">
        <v>14763</v>
      </c>
      <c r="E10" s="24" t="n">
        <v>14900</v>
      </c>
      <c r="F10" s="25">
        <f>IF(D10=0,0,(C10-D10)/ABS(D10))</f>
        <v/>
      </c>
      <c r="G10" s="25">
        <f>IF(E10=0,0,(C10-E10)/ABS(E10))</f>
        <v/>
      </c>
      <c r="H10" s="24" t="n">
        <v>113200</v>
      </c>
      <c r="I10" s="24" t="n">
        <v>110800</v>
      </c>
      <c r="J10" s="24" t="n">
        <v>112400</v>
      </c>
      <c r="K10" s="25">
        <f>IF(I10=0,0,(H10-I10)/ABS(I10))</f>
        <v/>
      </c>
      <c r="L10" s="25">
        <f>IF(J10=0,0,(H10-J10)/ABS(J10))</f>
        <v/>
      </c>
    </row>
    <row r="11">
      <c r="B11" s="27" t="inlineStr">
        <is>
          <t xml:space="preserve">  Marketing &amp; trade</t>
        </is>
      </c>
      <c r="C11" s="24" t="n">
        <v>6450</v>
      </c>
      <c r="D11" s="24" t="n">
        <v>6384</v>
      </c>
      <c r="E11" s="24" t="n">
        <v>6500</v>
      </c>
      <c r="F11" s="25">
        <f>IF(D11=0,0,(C11-D11)/ABS(D11))</f>
        <v/>
      </c>
      <c r="G11" s="25">
        <f>IF(E11=0,0,(C11-E11)/ABS(E11))</f>
        <v/>
      </c>
      <c r="H11" s="24" t="n">
        <v>48600</v>
      </c>
      <c r="I11" s="24" t="n">
        <v>47900</v>
      </c>
      <c r="J11" s="24" t="n">
        <v>49000</v>
      </c>
      <c r="K11" s="25">
        <f>IF(I11=0,0,(H11-I11)/ABS(I11))</f>
        <v/>
      </c>
      <c r="L11" s="25">
        <f>IF(J11=0,0,(H11-J11)/ABS(J11))</f>
        <v/>
      </c>
    </row>
    <row r="12">
      <c r="B12" s="27" t="inlineStr">
        <is>
          <t xml:space="preserve">  R&amp;D / innovation</t>
        </is>
      </c>
      <c r="C12" s="24" t="n">
        <v>2415</v>
      </c>
      <c r="D12" s="24" t="n">
        <v>2394</v>
      </c>
      <c r="E12" s="24" t="n">
        <v>2400</v>
      </c>
      <c r="F12" s="25">
        <f>IF(D12=0,0,(C12-D12)/ABS(D12))</f>
        <v/>
      </c>
      <c r="G12" s="25">
        <f>IF(E12=0,0,(C12-E12)/ABS(E12))</f>
        <v/>
      </c>
      <c r="H12" s="24" t="n">
        <v>18200</v>
      </c>
      <c r="I12" s="24" t="n">
        <v>17950</v>
      </c>
      <c r="J12" s="24" t="n">
        <v>18100</v>
      </c>
      <c r="K12" s="25">
        <f>IF(I12=0,0,(H12-I12)/ABS(I12))</f>
        <v/>
      </c>
      <c r="L12" s="25">
        <f>IF(J12=0,0,(H12-J12)/ABS(J12))</f>
        <v/>
      </c>
    </row>
    <row r="13">
      <c r="B13" s="30" t="inlineStr">
        <is>
          <t>Total opex</t>
        </is>
      </c>
      <c r="C13" s="31">
        <f>C10+C11+C12</f>
        <v/>
      </c>
      <c r="D13" s="31">
        <f>D10+D11+D12</f>
        <v/>
      </c>
      <c r="E13" s="31">
        <f>E10+E11+E12</f>
        <v/>
      </c>
      <c r="F13" s="25">
        <f>IF(D13=0,0,(C13-D13)/ABS(D13))</f>
        <v/>
      </c>
      <c r="G13" s="25">
        <f>IF(E13=0,0,(C13-E13)/ABS(E13))</f>
        <v/>
      </c>
      <c r="H13" s="31">
        <f>H10+H11+H12</f>
        <v/>
      </c>
      <c r="I13" s="31">
        <f>I10+I11+I12</f>
        <v/>
      </c>
      <c r="J13" s="31">
        <f>J10+J11+J12</f>
        <v/>
      </c>
      <c r="K13" s="25">
        <f>IF(I13=0,0,(H13-I13)/ABS(I13))</f>
        <v/>
      </c>
      <c r="L13" s="25">
        <f>IF(J13=0,0,(H13-J13)/ABS(J13))</f>
        <v/>
      </c>
    </row>
    <row r="14">
      <c r="B14" s="28" t="inlineStr">
        <is>
          <t>EBITDA</t>
        </is>
      </c>
      <c r="C14" s="29">
        <f>C9-C13</f>
        <v/>
      </c>
      <c r="D14" s="29">
        <f>D9-D13</f>
        <v/>
      </c>
      <c r="E14" s="29">
        <f>E9-E13</f>
        <v/>
      </c>
      <c r="F14" s="26">
        <f>IF(D14=0,0,(C14-D14)/ABS(D14))</f>
        <v/>
      </c>
      <c r="G14" s="26">
        <f>IF(E14=0,0,(C14-E14)/ABS(E14))</f>
        <v/>
      </c>
      <c r="H14" s="29">
        <f>H9-H13</f>
        <v/>
      </c>
      <c r="I14" s="29">
        <f>I9-I13</f>
        <v/>
      </c>
      <c r="J14" s="29">
        <f>J9-J13</f>
        <v/>
      </c>
      <c r="K14" s="26">
        <f>IF(I14=0,0,(H14-I14)/ABS(I14))</f>
        <v/>
      </c>
      <c r="L14" s="26">
        <f>IF(J14=0,0,(H14-J14)/ABS(J14))</f>
        <v/>
      </c>
    </row>
    <row r="15">
      <c r="B15" s="27" t="inlineStr">
        <is>
          <t xml:space="preserve">  D&amp;A</t>
        </is>
      </c>
      <c r="C15" s="24" t="n">
        <v>3220</v>
      </c>
      <c r="D15" s="24" t="n">
        <v>3192</v>
      </c>
      <c r="E15" s="24" t="n">
        <v>3200</v>
      </c>
      <c r="F15" s="25">
        <f>IF(D15=0,0,(C15-D15)/ABS(D15))</f>
        <v/>
      </c>
      <c r="G15" s="25">
        <f>IF(E15=0,0,(C15-E15)/ABS(E15))</f>
        <v/>
      </c>
      <c r="H15" s="24" t="n">
        <v>24160</v>
      </c>
      <c r="I15" s="24" t="n">
        <v>23940</v>
      </c>
      <c r="J15" s="24" t="n">
        <v>24080</v>
      </c>
      <c r="K15" s="25">
        <f>IF(I15=0,0,(H15-I15)/ABS(I15))</f>
        <v/>
      </c>
      <c r="L15" s="25">
        <f>IF(J15=0,0,(H15-J15)/ABS(J15))</f>
        <v/>
      </c>
    </row>
    <row r="16">
      <c r="B16" s="28" t="inlineStr">
        <is>
          <t>EBIT</t>
        </is>
      </c>
      <c r="C16" s="29">
        <f>C14-C15</f>
        <v/>
      </c>
      <c r="D16" s="29">
        <f>D14-D15</f>
        <v/>
      </c>
      <c r="E16" s="29">
        <f>E14-E15</f>
        <v/>
      </c>
      <c r="F16" s="26">
        <f>IF(D16=0,0,(C16-D16)/ABS(D16))</f>
        <v/>
      </c>
      <c r="G16" s="26">
        <f>IF(E16=0,0,(C16-E16)/ABS(E16))</f>
        <v/>
      </c>
      <c r="H16" s="29">
        <f>H14-H15</f>
        <v/>
      </c>
      <c r="I16" s="29">
        <f>I14-I15</f>
        <v/>
      </c>
      <c r="J16" s="29">
        <f>J14-J15</f>
        <v/>
      </c>
      <c r="K16" s="26">
        <f>IF(I16=0,0,(H16-I16)/ABS(I16))</f>
        <v/>
      </c>
      <c r="L16" s="26">
        <f>IF(J16=0,0,(H16-J16)/ABS(J16))</f>
        <v/>
      </c>
    </row>
    <row r="17">
      <c r="B17" s="27" t="inlineStr">
        <is>
          <t xml:space="preserve">  Interest expense</t>
        </is>
      </c>
      <c r="C17" s="24" t="n">
        <v>1610</v>
      </c>
      <c r="D17" s="24" t="n">
        <v>1596</v>
      </c>
      <c r="E17" s="24" t="n">
        <v>1600</v>
      </c>
      <c r="F17" s="25">
        <f>IF(D17=0,0,(C17-D17)/ABS(D17))</f>
        <v/>
      </c>
      <c r="G17" s="25">
        <f>IF(E17=0,0,(C17-E17)/ABS(E17))</f>
        <v/>
      </c>
      <c r="H17" s="24" t="n">
        <v>12080</v>
      </c>
      <c r="I17" s="24" t="n">
        <v>11970</v>
      </c>
      <c r="J17" s="24" t="n">
        <v>12040</v>
      </c>
      <c r="K17" s="25">
        <f>IF(I17=0,0,(H17-I17)/ABS(I17))</f>
        <v/>
      </c>
      <c r="L17" s="25">
        <f>IF(J17=0,0,(H17-J17)/ABS(J17))</f>
        <v/>
      </c>
    </row>
    <row r="18">
      <c r="B18" s="28" t="inlineStr">
        <is>
          <t>EBT</t>
        </is>
      </c>
      <c r="C18" s="29">
        <f>C16-C17</f>
        <v/>
      </c>
      <c r="D18" s="29">
        <f>D16-D17</f>
        <v/>
      </c>
      <c r="E18" s="29">
        <f>E16-E17</f>
        <v/>
      </c>
      <c r="F18" s="26">
        <f>IF(D18=0,0,(C18-D18)/ABS(D18))</f>
        <v/>
      </c>
      <c r="G18" s="26">
        <f>IF(E18=0,0,(C18-E18)/ABS(E18))</f>
        <v/>
      </c>
      <c r="H18" s="29">
        <f>H16-H17</f>
        <v/>
      </c>
      <c r="I18" s="29">
        <f>I16-I17</f>
        <v/>
      </c>
      <c r="J18" s="29">
        <f>J16-J17</f>
        <v/>
      </c>
      <c r="K18" s="26">
        <f>IF(I18=0,0,(H18-I18)/ABS(I18))</f>
        <v/>
      </c>
      <c r="L18" s="26">
        <f>IF(J18=0,0,(H18-J18)/ABS(J18))</f>
        <v/>
      </c>
    </row>
    <row r="19">
      <c r="B19" s="27" t="inlineStr">
        <is>
          <t xml:space="preserve">  Tax</t>
        </is>
      </c>
      <c r="C19" s="24" t="n">
        <v>2690</v>
      </c>
      <c r="D19" s="24" t="n">
        <v>2895</v>
      </c>
      <c r="E19" s="24" t="n">
        <v>2950</v>
      </c>
      <c r="F19" s="25">
        <f>IF(D19=0,0,(C19-D19)/ABS(D19))</f>
        <v/>
      </c>
      <c r="G19" s="25">
        <f>IF(E19=0,0,(C19-E19)/ABS(E19))</f>
        <v/>
      </c>
      <c r="H19" s="24" t="n">
        <v>22300</v>
      </c>
      <c r="I19" s="24" t="n">
        <v>23760</v>
      </c>
      <c r="J19" s="24" t="n">
        <v>24100</v>
      </c>
      <c r="K19" s="25">
        <f>IF(I19=0,0,(H19-I19)/ABS(I19))</f>
        <v/>
      </c>
      <c r="L19" s="25">
        <f>IF(J19=0,0,(H19-J19)/ABS(J19))</f>
        <v/>
      </c>
    </row>
    <row r="20">
      <c r="B20" s="28" t="inlineStr">
        <is>
          <t>Net income</t>
        </is>
      </c>
      <c r="C20" s="29">
        <f>C18-C19</f>
        <v/>
      </c>
      <c r="D20" s="29">
        <f>D18-D19</f>
        <v/>
      </c>
      <c r="E20" s="29">
        <f>E18-E19</f>
        <v/>
      </c>
      <c r="F20" s="26">
        <f>IF(D20=0,0,(C20-D20)/ABS(D20))</f>
        <v/>
      </c>
      <c r="G20" s="26">
        <f>IF(E20=0,0,(C20-E20)/ABS(E20))</f>
        <v/>
      </c>
      <c r="H20" s="29">
        <f>H18-H19</f>
        <v/>
      </c>
      <c r="I20" s="29">
        <f>I18-I19</f>
        <v/>
      </c>
      <c r="J20" s="29">
        <f>J18-J19</f>
        <v/>
      </c>
      <c r="K20" s="26">
        <f>IF(I20=0,0,(H20-I20)/ABS(I20))</f>
        <v/>
      </c>
      <c r="L20" s="26">
        <f>IF(J20=0,0,(H20-J20)/ABS(J20))</f>
        <v/>
      </c>
    </row>
    <row r="22">
      <c r="B22" s="4" t="inlineStr">
        <is>
          <t>Margins (formula)</t>
        </is>
      </c>
    </row>
    <row r="23">
      <c r="B23" t="inlineStr">
        <is>
          <t>EBITDA margin % (Mo Act)</t>
        </is>
      </c>
      <c r="C23" s="26">
        <f>IF(C7=0,0,C14/C7)</f>
        <v/>
      </c>
      <c r="D23" t="inlineStr">
        <is>
          <t>vs Bud</t>
        </is>
      </c>
      <c r="E23" s="25">
        <f>IF(D7=0,0,D14/D7)</f>
        <v/>
      </c>
    </row>
    <row r="24">
      <c r="B24" t="inlineStr">
        <is>
          <t>EBITDA margin % (YTD Act)</t>
        </is>
      </c>
      <c r="C24" s="26">
        <f>IF(H7=0,0,H14/H7)</f>
        <v/>
      </c>
      <c r="D24" t="inlineStr">
        <is>
          <t>vs Bud</t>
        </is>
      </c>
      <c r="E24" s="25">
        <f>IF(I7=0,0,I14/I7)</f>
        <v/>
      </c>
    </row>
    <row r="26">
      <c r="B26" s="14" t="inlineStr">
        <is>
          <t>Yellow = paste from the close pack. Green rows = key subtotals (formulas).</t>
        </is>
      </c>
    </row>
  </sheetData>
  <mergeCells count="2">
    <mergeCell ref="C5:G5"/>
    <mergeCell ref="H5:L5"/>
  </mergeCells>
  <conditionalFormatting sqref="F7:F20">
    <cfRule type="cellIs" priority="1" operator="greaterThanOrEqual" dxfId="0">
      <formula>0.005</formula>
    </cfRule>
    <cfRule type="cellIs" priority="2" operator="between" dxfId="1">
      <formula>-0.02</formula>
      <formula>0.0049</formula>
    </cfRule>
    <cfRule type="cellIs" priority="3" operator="lessThan" dxfId="2">
      <formula>-0.02</formula>
    </cfRule>
  </conditionalFormatting>
  <conditionalFormatting sqref="G7:G20">
    <cfRule type="cellIs" priority="4" operator="greaterThanOrEqual" dxfId="0">
      <formula>0.005</formula>
    </cfRule>
    <cfRule type="cellIs" priority="5" operator="between" dxfId="1">
      <formula>-0.02</formula>
      <formula>0.0049</formula>
    </cfRule>
    <cfRule type="cellIs" priority="6" operator="lessThan" dxfId="2">
      <formula>-0.02</formula>
    </cfRule>
  </conditionalFormatting>
  <conditionalFormatting sqref="K7:K20">
    <cfRule type="cellIs" priority="7" operator="greaterThanOrEqual" dxfId="0">
      <formula>0.005</formula>
    </cfRule>
    <cfRule type="cellIs" priority="8" operator="between" dxfId="1">
      <formula>-0.02</formula>
      <formula>0.0049</formula>
    </cfRule>
    <cfRule type="cellIs" priority="9" operator="lessThan" dxfId="2">
      <formula>-0.02</formula>
    </cfRule>
  </conditionalFormatting>
  <conditionalFormatting sqref="L7:L20">
    <cfRule type="cellIs" priority="10" operator="greaterThanOrEqual" dxfId="0">
      <formula>0.005</formula>
    </cfRule>
    <cfRule type="cellIs" priority="11" operator="between" dxfId="1">
      <formula>-0.02</formula>
      <formula>0.0049</formula>
    </cfRule>
    <cfRule type="cellIs" priority="12" operator="lessThan" dxfId="2">
      <formula>-0.02</formula>
    </cfRule>
  </conditionalFormatting>
  <pageMargins left="0.75" right="0.75" top="1" bottom="1" header="0.5" footer="0.5"/>
  <pageSetup orientation="landscape" paperSize="1" fitToHeight="1" fitToWidth="1"/>
  <headerFooter>
    <oddHeader/>
    <oddFooter>&amp;LNorthline Consumer Products  |  fictional sample  |  $000s&amp;RCONFIDENTIAL — portfolio sample</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J17"/>
  <sheetViews>
    <sheetView showGridLines="0" workbookViewId="0">
      <selection activeCell="A1" sqref="A1"/>
    </sheetView>
  </sheetViews>
  <sheetFormatPr baseColWidth="8" defaultRowHeight="15"/>
  <cols>
    <col width="3" customWidth="1" min="1" max="1"/>
    <col width="26" customWidth="1" min="2" max="2"/>
    <col width="12" customWidth="1" min="3" max="3"/>
    <col width="12" customWidth="1" min="4" max="4"/>
    <col width="12" customWidth="1" min="5" max="5"/>
    <col width="12" customWidth="1" min="6" max="6"/>
    <col width="10" customWidth="1" min="7" max="7"/>
    <col width="10" customWidth="1" min="8" max="8"/>
    <col width="14" customWidth="1" min="9" max="9"/>
    <col width="40" customWidth="1" min="10" max="10"/>
  </cols>
  <sheetData>
    <row r="2">
      <c r="B2" s="1" t="inlineStr">
        <is>
          <t>03  ·  Board KPIs</t>
        </is>
      </c>
    </row>
    <row r="3">
      <c r="B3" s="3" t="inlineStr">
        <is>
          <t>Seven ELT-facing KPIs for the close month. RAG is formula-driven from Assumptions bands.</t>
        </is>
      </c>
    </row>
    <row r="5" ht="28" customHeight="1">
      <c r="B5" s="17" t="inlineStr">
        <is>
          <t>KPI</t>
        </is>
      </c>
      <c r="C5" s="17" t="inlineStr">
        <is>
          <t>Actual</t>
        </is>
      </c>
      <c r="D5" s="17" t="inlineStr">
        <is>
          <t>Budget</t>
        </is>
      </c>
      <c r="E5" s="17" t="inlineStr">
        <is>
          <t>Var $ / pp</t>
        </is>
      </c>
      <c r="F5" s="17" t="inlineStr">
        <is>
          <t>Var %</t>
        </is>
      </c>
      <c r="G5" s="17" t="inlineStr">
        <is>
          <t>RAG</t>
        </is>
      </c>
      <c r="H5" s="17" t="inlineStr">
        <is>
          <t>YTD Act</t>
        </is>
      </c>
      <c r="I5" s="17" t="inlineStr">
        <is>
          <t>YTD Bud</t>
        </is>
      </c>
      <c r="J5" s="17" t="inlineStr">
        <is>
          <t>Commentary</t>
        </is>
      </c>
    </row>
    <row r="6" ht="30" customHeight="1">
      <c r="B6" s="10" t="inlineStr">
        <is>
          <t>Net revenue ($000s)</t>
        </is>
      </c>
      <c r="C6" s="24" t="n">
        <v>80500</v>
      </c>
      <c r="D6" s="24" t="n">
        <v>79800</v>
      </c>
      <c r="E6" s="31">
        <f>C6-D6</f>
        <v/>
      </c>
      <c r="F6" s="25">
        <f>IF(D6=0,0,(C6-D6)/ABS(D6))</f>
        <v/>
      </c>
      <c r="G6" s="32">
        <f>IF(C6&gt;=D6,"Green",IF(C6&gt;=D6*(1-'01_Assumptions'!D22),"Amber","Red"))</f>
        <v/>
      </c>
      <c r="H6" s="24" t="n">
        <v>604100</v>
      </c>
      <c r="I6" s="24" t="n">
        <v>598800</v>
      </c>
      <c r="J6" s="16" t="inlineStr">
        <is>
          <t>Volume + mix ahead; AUR slightly soft on promo.</t>
        </is>
      </c>
    </row>
    <row r="7" ht="30" customHeight="1">
      <c r="B7" s="10" t="inlineStr">
        <is>
          <t>Gross margin %</t>
        </is>
      </c>
      <c r="C7" s="18" t="n">
        <v>0.424</v>
      </c>
      <c r="D7" s="18" t="n">
        <v>0.43</v>
      </c>
      <c r="E7" s="25">
        <f>C7-D7</f>
        <v/>
      </c>
      <c r="F7" s="25">
        <f>IF(D7=0,0,(C7-D7)/ABS(D7))</f>
        <v/>
      </c>
      <c r="G7" s="32">
        <f>IF(C7&gt;=D7,"Green",IF(C7&gt;=D7*(1-'01_Assumptions'!D23),"Amber","Red"))</f>
        <v/>
      </c>
      <c r="H7" s="18" t="n">
        <v>0.423</v>
      </c>
      <c r="I7" s="18" t="n">
        <v>0.427</v>
      </c>
      <c r="J7" s="16" t="inlineStr">
        <is>
          <t>Commodity + freight; price/mix partially offsets.</t>
        </is>
      </c>
    </row>
    <row r="8" ht="30" customHeight="1">
      <c r="B8" s="10" t="inlineStr">
        <is>
          <t>EBITDA ($000s)</t>
        </is>
      </c>
      <c r="C8" s="24" t="n">
        <v>11215</v>
      </c>
      <c r="D8" s="24" t="n">
        <v>10773</v>
      </c>
      <c r="E8" s="31">
        <f>C8-D8</f>
        <v/>
      </c>
      <c r="F8" s="25">
        <f>IF(D8=0,0,(C8-D8)/ABS(D8))</f>
        <v/>
      </c>
      <c r="G8" s="32">
        <f>IF(C8&gt;=D8,"Green",IF(C8&gt;=D8*(1-'01_Assumptions'!D24),"Amber","Red"))</f>
        <v/>
      </c>
      <c r="H8" s="24" t="n">
        <v>84100</v>
      </c>
      <c r="I8" s="24" t="n">
        <v>82150</v>
      </c>
      <c r="J8" s="16" t="inlineStr">
        <is>
          <t>Opex discipline and lower scrap vs plan.</t>
        </is>
      </c>
    </row>
    <row r="9" ht="30" customHeight="1">
      <c r="B9" s="10" t="inlineStr">
        <is>
          <t>Volume (000 cases)</t>
        </is>
      </c>
      <c r="C9" s="33" t="n">
        <v>6720</v>
      </c>
      <c r="D9" s="33" t="n">
        <v>6650</v>
      </c>
      <c r="E9" s="34">
        <f>C9-D9</f>
        <v/>
      </c>
      <c r="F9" s="25">
        <f>IF(D9=0,0,(C9-D9)/ABS(D9))</f>
        <v/>
      </c>
      <c r="G9" s="32">
        <f>IF(C9&gt;=D9,"Green",IF(C9&gt;=D9*(1-'01_Assumptions'!D25),"Amber","Red"))</f>
        <v/>
      </c>
      <c r="H9" s="33" t="n">
        <v>50340</v>
      </c>
      <c r="I9" s="33" t="n">
        <v>49900</v>
      </c>
      <c r="J9" s="16" t="inlineStr">
        <is>
          <t>Club and e-comm channels lead.</t>
        </is>
      </c>
    </row>
    <row r="10" ht="30" customHeight="1">
      <c r="B10" s="10" t="inlineStr">
        <is>
          <t>OTIF %</t>
        </is>
      </c>
      <c r="C10" s="18" t="n">
        <v>0.961</v>
      </c>
      <c r="D10" s="18" t="n">
        <v>0.97</v>
      </c>
      <c r="E10" s="25">
        <f>C10-D10</f>
        <v/>
      </c>
      <c r="F10" s="25">
        <f>IF(D10=0,0,(C10-D10)/ABS(D10))</f>
        <v/>
      </c>
      <c r="G10" s="32">
        <f>IF(C10&gt;=D10,"Green",IF(C10&gt;=D10*(1-'01_Assumptions'!D26),"Amber","Red"))</f>
        <v/>
      </c>
      <c r="H10" s="18" t="n">
        <v>0.966</v>
      </c>
      <c r="I10" s="18" t="n">
        <v>0.97</v>
      </c>
      <c r="J10" s="16" t="inlineStr">
        <is>
          <t>West DC labor constraints in week 3.</t>
        </is>
      </c>
    </row>
    <row r="11" ht="30" customHeight="1">
      <c r="B11" s="10" t="inlineStr">
        <is>
          <t>DSO (days)</t>
        </is>
      </c>
      <c r="C11" s="33" t="n">
        <v>41.2</v>
      </c>
      <c r="D11" s="33" t="n">
        <v>42</v>
      </c>
      <c r="E11" s="34">
        <f>C11-D11</f>
        <v/>
      </c>
      <c r="F11" s="25">
        <f>IF(D11=0,0,(C11-D11)/ABS(D11))</f>
        <v/>
      </c>
      <c r="G11" s="32">
        <f>IF(C11&lt;=D11,"Green",IF(C11&lt;=D11*(1+'01_Assumptions'!D27),"Amber","Red"))</f>
        <v/>
      </c>
      <c r="H11" s="33" t="n">
        <v>41.2</v>
      </c>
      <c r="I11" s="33" t="n">
        <v>42</v>
      </c>
      <c r="J11" s="16" t="inlineStr">
        <is>
          <t>Collections strong; retail terms stable.</t>
        </is>
      </c>
    </row>
    <row r="12" ht="30" customHeight="1">
      <c r="B12" s="10" t="inlineStr">
        <is>
          <t>Op. cash flow ($000s)</t>
        </is>
      </c>
      <c r="C12" s="24" t="n">
        <v>6200</v>
      </c>
      <c r="D12" s="24" t="n">
        <v>5800</v>
      </c>
      <c r="E12" s="31">
        <f>C12-D12</f>
        <v/>
      </c>
      <c r="F12" s="25">
        <f>IF(D12=0,0,(C12-D12)/ABS(D12))</f>
        <v/>
      </c>
      <c r="G12" s="32">
        <f>IF(C12&gt;=D12,"Green",IF(C12&gt;=D12*(1-'01_Assumptions'!D28),"Amber","Red"))</f>
        <v/>
      </c>
      <c r="H12" s="24" t="n">
        <v>47300</v>
      </c>
      <c r="I12" s="24" t="n">
        <v>45100</v>
      </c>
      <c r="J12" s="16" t="inlineStr">
        <is>
          <t>Working capital release + EBITDA beat.</t>
        </is>
      </c>
    </row>
    <row r="14">
      <c r="B14" s="4" t="inlineStr">
        <is>
          <t>Summary counts</t>
        </is>
      </c>
    </row>
    <row r="15">
      <c r="B15" t="inlineStr">
        <is>
          <t>Green</t>
        </is>
      </c>
      <c r="C15" s="32">
        <f>COUNTIF(G6:G12,"Green")</f>
        <v/>
      </c>
      <c r="D15" t="inlineStr">
        <is>
          <t>Amber</t>
        </is>
      </c>
      <c r="E15" s="35">
        <f>COUNTIF(G6:G12,"Amber")</f>
        <v/>
      </c>
      <c r="F15" t="inlineStr">
        <is>
          <t>Red</t>
        </is>
      </c>
      <c r="G15" s="36">
        <f>COUNTIF(G6:G12,"Red")</f>
        <v/>
      </c>
    </row>
    <row r="17">
      <c r="B17" s="14" t="inlineStr">
        <is>
          <t>Edit Actual / Budget (yellow). RAG and variance recalculate automatically.</t>
        </is>
      </c>
    </row>
  </sheetData>
  <conditionalFormatting sqref="G6:G12">
    <cfRule type="expression" priority="1" dxfId="0">
      <formula>G6="Green"</formula>
    </cfRule>
    <cfRule type="expression" priority="2" dxfId="1">
      <formula>G6="Amber"</formula>
    </cfRule>
    <cfRule type="expression" priority="3" dxfId="2">
      <formula>G6="Red"</formula>
    </cfRule>
  </conditionalFormatting>
  <pageMargins left="0.75" right="0.75" top="1" bottom="1" header="0.5" footer="0.5"/>
  <pageSetup orientation="landscape" paperSize="1" fitToHeight="1" fitToWidth="1"/>
  <headerFooter>
    <oddHeader/>
    <oddFooter>&amp;LNorthline Consumer Products  |  fictional sample  |  $000s&amp;RCONFIDENTIAL — portfolio sample</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C30"/>
  <sheetViews>
    <sheetView showGridLines="0" workbookViewId="0">
      <selection activeCell="A1" sqref="A1"/>
    </sheetView>
  </sheetViews>
  <sheetFormatPr baseColWidth="8" defaultRowHeight="15"/>
  <cols>
    <col width="3" customWidth="1" min="1" max="1"/>
    <col width="22" customWidth="1" min="2" max="2"/>
    <col width="70" customWidth="1" min="3" max="3"/>
    <col width="18" customWidth="1" min="4" max="4"/>
  </cols>
  <sheetData>
    <row r="2">
      <c r="B2" s="1" t="inlineStr">
        <is>
          <t>04  ·  Callouts</t>
        </is>
      </c>
    </row>
    <row r="3">
      <c r="B3" s="3" t="inlineStr">
        <is>
          <t>Structured commentary for the ELT pack. Everything yellow is an input — keep it tight.</t>
        </is>
      </c>
    </row>
    <row r="5">
      <c r="B5" s="37" t="inlineStr">
        <is>
          <t>What went well</t>
        </is>
      </c>
      <c r="C5" s="11" t="n"/>
    </row>
    <row r="6" ht="26" customHeight="1">
      <c r="B6" s="10" t="inlineStr">
        <is>
          <t>•</t>
        </is>
      </c>
      <c r="C6" s="16" t="inlineStr">
        <is>
          <t>EBITDA beat budget by $0.4M in-month; YTD beat $2.0M.</t>
        </is>
      </c>
    </row>
    <row r="7" ht="26" customHeight="1">
      <c r="B7" s="10" t="inlineStr">
        <is>
          <t>•</t>
        </is>
      </c>
      <c r="C7" s="16" t="inlineStr">
        <is>
          <t>DSO improved 0.8 days vs plan; collections cadence holding.</t>
        </is>
      </c>
    </row>
    <row r="8" ht="26" customHeight="1">
      <c r="B8" s="10" t="inlineStr">
        <is>
          <t>•</t>
        </is>
      </c>
      <c r="C8" s="16" t="inlineStr">
        <is>
          <t>Club channel volume +6% vs budget; e-comm contribution margin expanding.</t>
        </is>
      </c>
    </row>
    <row r="10">
      <c r="B10" s="37" t="inlineStr">
        <is>
          <t>What needs attention</t>
        </is>
      </c>
      <c r="C10" s="11" t="n"/>
    </row>
    <row r="11" ht="26" customHeight="1">
      <c r="B11" s="10" t="inlineStr">
        <is>
          <t>•</t>
        </is>
      </c>
      <c r="C11" s="16" t="inlineStr">
        <is>
          <t>Gross margin −0.6 pp vs budget — resin and inbound freight.</t>
        </is>
      </c>
    </row>
    <row r="12" ht="26" customHeight="1">
      <c r="B12" s="10" t="inlineStr">
        <is>
          <t>•</t>
        </is>
      </c>
      <c r="C12" s="16" t="inlineStr">
        <is>
          <t>OTIF 96.1% vs 97.0% target — West DC temp labor gap in week 3.</t>
        </is>
      </c>
    </row>
    <row r="13" ht="26" customHeight="1">
      <c r="B13" s="10" t="inlineStr">
        <is>
          <t>•</t>
        </is>
      </c>
      <c r="C13" s="16" t="inlineStr">
        <is>
          <t>Trade spend pacing ahead of plan in Club; ROI review in flight.</t>
        </is>
      </c>
    </row>
    <row r="15">
      <c r="B15" s="37" t="inlineStr">
        <is>
          <t>Decisions / asks</t>
        </is>
      </c>
      <c r="C15" s="11" t="n"/>
    </row>
    <row r="16" ht="26" customHeight="1">
      <c r="B16" s="10" t="inlineStr">
        <is>
          <t>•</t>
        </is>
      </c>
      <c r="C16" s="16" t="inlineStr">
        <is>
          <t>Approve Q4 promo guardrails (AUR floor + trade ROI hurdle).</t>
        </is>
      </c>
    </row>
    <row r="17" ht="26" customHeight="1">
      <c r="B17" s="10" t="inlineStr">
        <is>
          <t>•</t>
        </is>
      </c>
      <c r="C17" s="16" t="inlineStr">
        <is>
          <t>Authorize West DC overtime / temp surge through peak (est. $180k).</t>
        </is>
      </c>
    </row>
    <row r="18" ht="26" customHeight="1">
      <c r="B18" s="10" t="inlineStr">
        <is>
          <t>•</t>
        </is>
      </c>
      <c r="C18" s="16" t="inlineStr">
        <is>
          <t>Confirm commodity hedge window for Q1 resin (Treasury + Procurement).</t>
        </is>
      </c>
    </row>
    <row r="20">
      <c r="B20" s="37" t="inlineStr">
        <is>
          <t>Risks &amp; mitigations</t>
        </is>
      </c>
      <c r="C20" s="11" t="n"/>
    </row>
    <row r="21" ht="26" customHeight="1">
      <c r="B21" s="10" t="inlineStr">
        <is>
          <t>•</t>
        </is>
      </c>
      <c r="C21" s="16" t="inlineStr">
        <is>
          <t>Q4 promo intensity — mitigate with SKU-level AUR floors and sell-in caps.</t>
        </is>
      </c>
    </row>
    <row r="22" ht="26" customHeight="1">
      <c r="B22" s="10" t="inlineStr">
        <is>
          <t>•</t>
        </is>
      </c>
      <c r="C22" s="16" t="inlineStr">
        <is>
          <t>Freight lane volatility — dual-source West inbound; lock 60-day rates.</t>
        </is>
      </c>
    </row>
    <row r="23" ht="26" customHeight="1">
      <c r="B23" s="10" t="inlineStr">
        <is>
          <t>•</t>
        </is>
      </c>
      <c r="C23" s="16" t="inlineStr">
        <is>
          <t>Retailer inventory rightsizing — lean into high-velocity SKUs; cut slow movers.</t>
        </is>
      </c>
    </row>
    <row r="25">
      <c r="B25" s="37" t="inlineStr">
        <is>
          <t>Forward look (next 90 days)</t>
        </is>
      </c>
      <c r="C25" s="11" t="n"/>
    </row>
    <row r="26" ht="26" customHeight="1">
      <c r="B26" s="10" t="inlineStr">
        <is>
          <t>•</t>
        </is>
      </c>
      <c r="C26" s="16" t="inlineStr">
        <is>
          <t>Sep flash: hold GM recovery plan (price/mix + freight actions).</t>
        </is>
      </c>
    </row>
    <row r="27" ht="26" customHeight="1">
      <c r="B27" s="10" t="inlineStr">
        <is>
          <t>•</t>
        </is>
      </c>
      <c r="C27" s="16" t="inlineStr">
        <is>
          <t>Oct: board deep-dive on unit economics of launch SKU NL-Probiotic Bar.</t>
        </is>
      </c>
    </row>
    <row r="28" ht="26" customHeight="1">
      <c r="B28" s="10" t="inlineStr">
        <is>
          <t>•</t>
        </is>
      </c>
      <c r="C28" s="16" t="inlineStr">
        <is>
          <t>Nov: FY27 budget kickoff — volume, AUR, and opex envelopes.</t>
        </is>
      </c>
    </row>
    <row r="30">
      <c r="B30" s="38" t="inlineStr">
        <is>
          <t>Owner / next update</t>
        </is>
      </c>
      <c r="C30" s="7" t="inlineStr">
        <is>
          <t>FP&amp;A — next flash 3 business days after Sep close</t>
        </is>
      </c>
    </row>
  </sheetData>
  <mergeCells count="6">
    <mergeCell ref="B15:C15"/>
    <mergeCell ref="B25:C25"/>
    <mergeCell ref="B5:C5"/>
    <mergeCell ref="B20:C20"/>
    <mergeCell ref="C30"/>
    <mergeCell ref="B10:C10"/>
  </mergeCells>
  <pageMargins left="0.75" right="0.75" top="1" bottom="1" header="0.5" footer="0.5"/>
  <pageSetup orientation="landscape" paperSize="1" fitToHeight="1" fitToWidth="1"/>
  <headerFooter>
    <oddHeader/>
    <oddFooter>&amp;LNorthline Consumer Products  |  fictional sample  |  $000s&amp;RCONFIDENTIAL — portfolio sample</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B1:N29"/>
  <sheetViews>
    <sheetView showGridLines="0" workbookViewId="0">
      <selection activeCell="A1" sqref="A1"/>
    </sheetView>
  </sheetViews>
  <sheetFormatPr baseColWidth="8" defaultRowHeight="15"/>
  <cols>
    <col width="2.5" customWidth="1" min="1" max="1"/>
    <col width="14" customWidth="1" min="2" max="2"/>
    <col width="11" customWidth="1" min="3" max="3"/>
    <col width="11" customWidth="1" min="4" max="4"/>
    <col width="11" customWidth="1" min="5" max="5"/>
    <col width="10" customWidth="1" min="6" max="6"/>
    <col width="2.5" customWidth="1" min="7" max="7"/>
    <col width="13" customWidth="1" min="8" max="8"/>
    <col width="11" customWidth="1" min="9" max="9"/>
    <col width="11" customWidth="1" min="10" max="10"/>
    <col width="11" customWidth="1" min="11" max="11"/>
    <col width="10" customWidth="1" min="12" max="12"/>
    <col width="2.5" customWidth="1" min="13" max="13"/>
    <col width="22" customWidth="1" min="14" max="14"/>
    <col width="2.5" customWidth="1" min="15" max="15"/>
  </cols>
  <sheetData>
    <row r="1" ht="28" customHeight="1">
      <c r="B1" s="39">
        <f>"NORTHLINE  ·  ELT FLASH  ·  "&amp;'01_Assumptions'!D6&amp;" "&amp;'01_Assumptions'!C7</f>
        <v/>
      </c>
    </row>
    <row r="2" ht="18" customHeight="1">
      <c r="B2" s="40">
        <f>'01_Assumptions'!C8&amp;"  ·  $000s  ·  Prepared by "&amp;'01_Assumptions'!C10&amp;"  ·  As-of "&amp;TEXT('01_Assumptions'!C11,"YYYY-MM-DD")</f>
        <v/>
      </c>
    </row>
    <row r="4">
      <c r="B4" s="4" t="inlineStr">
        <is>
          <t>BOARD KPIs</t>
        </is>
      </c>
    </row>
    <row r="5">
      <c r="B5" s="41" t="inlineStr">
        <is>
          <t>NET REVENUE</t>
        </is>
      </c>
      <c r="C5" s="13" t="n"/>
      <c r="D5" s="41" t="inlineStr">
        <is>
          <t>GROSS MARGIN</t>
        </is>
      </c>
      <c r="E5" s="13" t="n"/>
      <c r="F5" s="41" t="inlineStr">
        <is>
          <t>EBITDA</t>
        </is>
      </c>
      <c r="G5" s="13" t="n"/>
      <c r="H5" s="41" t="inlineStr">
        <is>
          <t>VOLUME</t>
        </is>
      </c>
      <c r="I5" s="13" t="n"/>
      <c r="J5" s="41" t="inlineStr">
        <is>
          <t>OTIF</t>
        </is>
      </c>
      <c r="K5" s="13" t="n"/>
      <c r="L5" s="41" t="inlineStr">
        <is>
          <t>DSO (days)</t>
        </is>
      </c>
      <c r="M5" s="13" t="n"/>
    </row>
    <row r="6" ht="22" customHeight="1">
      <c r="B6" s="42">
        <f>'03_KPIs'!C6</f>
        <v/>
      </c>
      <c r="C6" s="11" t="n"/>
      <c r="D6" s="43">
        <f>'03_KPIs'!C7</f>
        <v/>
      </c>
      <c r="E6" s="11" t="n"/>
      <c r="F6" s="42">
        <f>'03_KPIs'!C8</f>
        <v/>
      </c>
      <c r="G6" s="11" t="n"/>
      <c r="H6" s="44">
        <f>'03_KPIs'!C9</f>
        <v/>
      </c>
      <c r="I6" s="11" t="n"/>
      <c r="J6" s="43">
        <f>'03_KPIs'!C10</f>
        <v/>
      </c>
      <c r="K6" s="11" t="n"/>
      <c r="L6" s="44">
        <f>'03_KPIs'!C11</f>
        <v/>
      </c>
      <c r="M6" s="11" t="n"/>
    </row>
    <row r="7">
      <c r="B7" s="25">
        <f>'03_KPIs'!F6</f>
        <v/>
      </c>
      <c r="C7" s="45">
        <f>'03_KPIs'!G6</f>
        <v/>
      </c>
      <c r="D7" s="25">
        <f>'03_KPIs'!E7</f>
        <v/>
      </c>
      <c r="E7" s="45">
        <f>'03_KPIs'!G7</f>
        <v/>
      </c>
      <c r="F7" s="25">
        <f>'03_KPIs'!F8</f>
        <v/>
      </c>
      <c r="G7" s="45">
        <f>'03_KPIs'!G8</f>
        <v/>
      </c>
      <c r="H7" s="25">
        <f>'03_KPIs'!F9</f>
        <v/>
      </c>
      <c r="I7" s="45">
        <f>'03_KPIs'!G9</f>
        <v/>
      </c>
      <c r="J7" s="25">
        <f>'03_KPIs'!F10</f>
        <v/>
      </c>
      <c r="K7" s="45">
        <f>'03_KPIs'!G10</f>
        <v/>
      </c>
      <c r="L7" s="46">
        <f>'03_KPIs'!E11</f>
        <v/>
      </c>
      <c r="M7" s="45">
        <f>'03_KPIs'!G11</f>
        <v/>
      </c>
    </row>
    <row r="9">
      <c r="B9" s="4" t="inlineStr">
        <is>
          <t>P&amp;L FLASH ($000s)</t>
        </is>
      </c>
      <c r="I9" s="4" t="inlineStr">
        <is>
          <t>HEADLINES</t>
        </is>
      </c>
    </row>
    <row r="10" ht="28" customHeight="1">
      <c r="B10" s="17" t="inlineStr">
        <is>
          <t>Line</t>
        </is>
      </c>
      <c r="C10" s="17" t="inlineStr">
        <is>
          <t>Mo Act</t>
        </is>
      </c>
      <c r="D10" s="17" t="inlineStr">
        <is>
          <t>Mo Bud</t>
        </is>
      </c>
      <c r="E10" s="17" t="inlineStr">
        <is>
          <t>A vs B %</t>
        </is>
      </c>
      <c r="F10" s="17" t="inlineStr">
        <is>
          <t>YTD Act</t>
        </is>
      </c>
      <c r="G10" s="17" t="inlineStr">
        <is>
          <t>YTD A vs B %</t>
        </is>
      </c>
      <c r="H10" s="47" t="inlineStr">
        <is>
          <t>H1</t>
        </is>
      </c>
      <c r="I10" s="48">
        <f>'01_Assumptions'!C14</f>
        <v/>
      </c>
      <c r="J10" s="12" t="n"/>
      <c r="K10" s="12" t="n"/>
      <c r="L10" s="13" t="n"/>
    </row>
    <row r="11" ht="28" customHeight="1">
      <c r="B11" s="30" t="inlineStr">
        <is>
          <t>Net revenue</t>
        </is>
      </c>
      <c r="C11" s="31">
        <f>'02_P&amp;L_Flash'!C7</f>
        <v/>
      </c>
      <c r="D11" s="31">
        <f>'02_P&amp;L_Flash'!D7</f>
        <v/>
      </c>
      <c r="E11" s="25">
        <f>'02_P&amp;L_Flash'!F7</f>
        <v/>
      </c>
      <c r="F11" s="31">
        <f>'02_P&amp;L_Flash'!H7</f>
        <v/>
      </c>
      <c r="G11" s="25">
        <f>'02_P&amp;L_Flash'!K7</f>
        <v/>
      </c>
      <c r="H11" s="47" t="inlineStr">
        <is>
          <t>H2</t>
        </is>
      </c>
      <c r="I11" s="48">
        <f>'01_Assumptions'!C15</f>
        <v/>
      </c>
      <c r="J11" s="12" t="n"/>
      <c r="K11" s="12" t="n"/>
      <c r="L11" s="13" t="n"/>
    </row>
    <row r="12" ht="28" customHeight="1">
      <c r="B12" s="30" t="inlineStr">
        <is>
          <t>Gross profit</t>
        </is>
      </c>
      <c r="C12" s="31">
        <f>'02_P&amp;L_Flash'!C9</f>
        <v/>
      </c>
      <c r="D12" s="31">
        <f>'02_P&amp;L_Flash'!D9</f>
        <v/>
      </c>
      <c r="E12" s="25">
        <f>'02_P&amp;L_Flash'!F9</f>
        <v/>
      </c>
      <c r="F12" s="31">
        <f>'02_P&amp;L_Flash'!H9</f>
        <v/>
      </c>
      <c r="G12" s="25">
        <f>'02_P&amp;L_Flash'!K9</f>
        <v/>
      </c>
      <c r="H12" s="47" t="inlineStr">
        <is>
          <t>H3</t>
        </is>
      </c>
      <c r="I12" s="48">
        <f>'01_Assumptions'!C16</f>
        <v/>
      </c>
      <c r="J12" s="12" t="n"/>
      <c r="K12" s="12" t="n"/>
      <c r="L12" s="13" t="n"/>
    </row>
    <row r="13" ht="28" customHeight="1">
      <c r="B13" s="30" t="inlineStr">
        <is>
          <t>EBITDA</t>
        </is>
      </c>
      <c r="C13" s="29">
        <f>'02_P&amp;L_Flash'!C14</f>
        <v/>
      </c>
      <c r="D13" s="31">
        <f>'02_P&amp;L_Flash'!D14</f>
        <v/>
      </c>
      <c r="E13" s="25">
        <f>'02_P&amp;L_Flash'!F14</f>
        <v/>
      </c>
      <c r="F13" s="31">
        <f>'02_P&amp;L_Flash'!H14</f>
        <v/>
      </c>
      <c r="G13" s="25">
        <f>'02_P&amp;L_Flash'!K14</f>
        <v/>
      </c>
      <c r="H13" s="47" t="inlineStr">
        <is>
          <t>H4</t>
        </is>
      </c>
      <c r="I13" s="48">
        <f>'01_Assumptions'!C17</f>
        <v/>
      </c>
      <c r="J13" s="12" t="n"/>
      <c r="K13" s="12" t="n"/>
      <c r="L13" s="13" t="n"/>
    </row>
    <row r="14" ht="28" customHeight="1">
      <c r="B14" s="30" t="inlineStr">
        <is>
          <t>EBIT</t>
        </is>
      </c>
      <c r="C14" s="31">
        <f>'02_P&amp;L_Flash'!C16</f>
        <v/>
      </c>
      <c r="D14" s="31">
        <f>'02_P&amp;L_Flash'!D16</f>
        <v/>
      </c>
      <c r="E14" s="25">
        <f>'02_P&amp;L_Flash'!F16</f>
        <v/>
      </c>
      <c r="F14" s="31">
        <f>'02_P&amp;L_Flash'!H16</f>
        <v/>
      </c>
      <c r="G14" s="25">
        <f>'02_P&amp;L_Flash'!K16</f>
        <v/>
      </c>
      <c r="H14" s="47" t="inlineStr">
        <is>
          <t>WATCH</t>
        </is>
      </c>
      <c r="I14" s="48">
        <f>'01_Assumptions'!C18</f>
        <v/>
      </c>
      <c r="J14" s="12" t="n"/>
      <c r="K14" s="12" t="n"/>
      <c r="L14" s="13" t="n"/>
    </row>
    <row r="15">
      <c r="B15" s="30" t="inlineStr">
        <is>
          <t>Net income</t>
        </is>
      </c>
      <c r="C15" s="29">
        <f>'02_P&amp;L_Flash'!C20</f>
        <v/>
      </c>
      <c r="D15" s="31">
        <f>'02_P&amp;L_Flash'!D20</f>
        <v/>
      </c>
      <c r="E15" s="25">
        <f>'02_P&amp;L_Flash'!F20</f>
        <v/>
      </c>
      <c r="F15" s="31">
        <f>'02_P&amp;L_Flash'!H20</f>
        <v/>
      </c>
      <c r="G15" s="25">
        <f>'02_P&amp;L_Flash'!K20</f>
        <v/>
      </c>
    </row>
    <row r="17">
      <c r="B17" t="inlineStr">
        <is>
          <t>GM% Mo</t>
        </is>
      </c>
      <c r="C17" s="26">
        <f>'02_P&amp;L_Flash'!N7</f>
        <v/>
      </c>
      <c r="D17" t="inlineStr">
        <is>
          <t>EBITDA% Mo</t>
        </is>
      </c>
      <c r="E17" s="26">
        <f>'02_P&amp;L_Flash'!C23</f>
        <v/>
      </c>
      <c r="F17" t="inlineStr">
        <is>
          <t>EBITDA% YTD</t>
        </is>
      </c>
      <c r="G17" s="26">
        <f>'02_P&amp;L_Flash'!C24</f>
        <v/>
      </c>
    </row>
    <row r="19">
      <c r="B19" s="4" t="inlineStr">
        <is>
          <t>CALLOUTS (from 04)</t>
        </is>
      </c>
      <c r="I19" s="4" t="inlineStr">
        <is>
          <t>RAG SCOREBOARD</t>
        </is>
      </c>
    </row>
    <row r="20" ht="24" customHeight="1">
      <c r="B20" s="37" t="inlineStr">
        <is>
          <t>Well</t>
        </is>
      </c>
      <c r="C20" s="48">
        <f>'04_Callouts'!C6</f>
        <v/>
      </c>
      <c r="D20" s="12" t="n"/>
      <c r="E20" s="12" t="n"/>
      <c r="F20" s="12" t="n"/>
      <c r="G20" s="13" t="n"/>
      <c r="I20" t="inlineStr">
        <is>
          <t>Green</t>
        </is>
      </c>
      <c r="J20" s="32">
        <f>'03_KPIs'!C15</f>
        <v/>
      </c>
      <c r="K20" t="inlineStr">
        <is>
          <t>Amber</t>
        </is>
      </c>
      <c r="L20" s="35">
        <f>'03_KPIs'!E15</f>
        <v/>
      </c>
    </row>
    <row r="21" ht="24" customHeight="1">
      <c r="B21" s="37" t="inlineStr">
        <is>
          <t>Watch</t>
        </is>
      </c>
      <c r="C21" s="48">
        <f>'04_Callouts'!C11</f>
        <v/>
      </c>
      <c r="D21" s="12" t="n"/>
      <c r="E21" s="12" t="n"/>
      <c r="F21" s="12" t="n"/>
      <c r="G21" s="13" t="n"/>
      <c r="I21" t="inlineStr">
        <is>
          <t>Red</t>
        </is>
      </c>
      <c r="J21" s="36">
        <f>'03_KPIs'!G15</f>
        <v/>
      </c>
      <c r="K21" t="inlineStr">
        <is>
          <t>KPIs</t>
        </is>
      </c>
      <c r="L21" s="8">
        <f>J20+L20+J21</f>
        <v/>
      </c>
    </row>
    <row r="22" ht="24" customHeight="1">
      <c r="B22" s="37" t="inlineStr">
        <is>
          <t>Ask</t>
        </is>
      </c>
      <c r="C22" s="48">
        <f>'04_Callouts'!C16</f>
        <v/>
      </c>
      <c r="D22" s="12" t="n"/>
      <c r="E22" s="12" t="n"/>
      <c r="F22" s="12" t="n"/>
      <c r="G22" s="13" t="n"/>
      <c r="I22" t="inlineStr">
        <is>
          <t>Cash RAG</t>
        </is>
      </c>
      <c r="J22" s="32">
        <f>'03_KPIs'!G12</f>
        <v/>
      </c>
    </row>
    <row r="23" ht="24" customHeight="1">
      <c r="B23" s="37" t="inlineStr">
        <is>
          <t>Risk</t>
        </is>
      </c>
      <c r="C23" s="48">
        <f>'04_Callouts'!C21</f>
        <v/>
      </c>
      <c r="D23" s="12" t="n"/>
      <c r="E23" s="12" t="n"/>
      <c r="F23" s="12" t="n"/>
      <c r="G23" s="13" t="n"/>
      <c r="I23" t="inlineStr">
        <is>
          <t>OCF Mo Act</t>
        </is>
      </c>
      <c r="J23" s="31">
        <f>'03_KPIs'!C12</f>
        <v/>
      </c>
    </row>
    <row r="24" ht="16" customHeight="1">
      <c r="B24" s="49" t="inlineStr">
        <is>
          <t>Print this sheet landscape · 1 page  ·  Yellow inputs live on Assumptions / P&amp;L / KPIs / Callouts  ·  Fictional sample</t>
        </is>
      </c>
    </row>
    <row r="25">
      <c r="I25" s="14" t="inlineStr">
        <is>
          <t>Chart data (Mo Act vs Bud)</t>
        </is>
      </c>
    </row>
    <row r="26">
      <c r="I26" t="inlineStr">
        <is>
          <t>Line</t>
        </is>
      </c>
      <c r="J26" t="inlineStr">
        <is>
          <t>Actual</t>
        </is>
      </c>
      <c r="K26" t="inlineStr">
        <is>
          <t>Budget</t>
        </is>
      </c>
    </row>
    <row r="27">
      <c r="I27" t="inlineStr">
        <is>
          <t>Revenue</t>
        </is>
      </c>
      <c r="J27" s="50">
        <f>'02_P&amp;L_Flash'!C7</f>
        <v/>
      </c>
      <c r="K27" s="50">
        <f>'02_P&amp;L_Flash'!D7</f>
        <v/>
      </c>
    </row>
    <row r="28">
      <c r="I28" t="inlineStr">
        <is>
          <t>GP</t>
        </is>
      </c>
      <c r="J28" s="50">
        <f>'02_P&amp;L_Flash'!C9</f>
        <v/>
      </c>
      <c r="K28" s="50">
        <f>'02_P&amp;L_Flash'!D9</f>
        <v/>
      </c>
    </row>
    <row r="29">
      <c r="I29" t="inlineStr">
        <is>
          <t>EBITDA</t>
        </is>
      </c>
      <c r="J29" s="50">
        <f>'02_P&amp;L_Flash'!C14</f>
        <v/>
      </c>
      <c r="K29" s="50">
        <f>'02_P&amp;L_Flash'!D14</f>
        <v/>
      </c>
    </row>
  </sheetData>
  <mergeCells count="29">
    <mergeCell ref="B4:F4"/>
    <mergeCell ref="I14:L14"/>
    <mergeCell ref="J5:K5"/>
    <mergeCell ref="F6:G6"/>
    <mergeCell ref="I10:L10"/>
    <mergeCell ref="I19:L19"/>
    <mergeCell ref="B24:N24"/>
    <mergeCell ref="D6:E6"/>
    <mergeCell ref="I13:L13"/>
    <mergeCell ref="B19:G19"/>
    <mergeCell ref="C20:G20"/>
    <mergeCell ref="H6:I6"/>
    <mergeCell ref="I9:L9"/>
    <mergeCell ref="J6:K6"/>
    <mergeCell ref="F5:G5"/>
    <mergeCell ref="L5:M5"/>
    <mergeCell ref="C22:G22"/>
    <mergeCell ref="I11:L11"/>
    <mergeCell ref="C21:G21"/>
    <mergeCell ref="C23:G23"/>
    <mergeCell ref="B2:N2"/>
    <mergeCell ref="B9:F9"/>
    <mergeCell ref="B6:C6"/>
    <mergeCell ref="L6:M6"/>
    <mergeCell ref="B1:N1"/>
    <mergeCell ref="B5:C5"/>
    <mergeCell ref="D5:E5"/>
    <mergeCell ref="I12:L12"/>
    <mergeCell ref="H5:I5"/>
  </mergeCells>
  <conditionalFormatting sqref="C7">
    <cfRule type="expression" priority="1" dxfId="0">
      <formula>C7="Green"</formula>
    </cfRule>
    <cfRule type="expression" priority="2" dxfId="1">
      <formula>C7="Amber"</formula>
    </cfRule>
    <cfRule type="expression" priority="3" dxfId="2">
      <formula>C7="Red"</formula>
    </cfRule>
  </conditionalFormatting>
  <conditionalFormatting sqref="E7">
    <cfRule type="expression" priority="4" dxfId="0">
      <formula>E7="Green"</formula>
    </cfRule>
    <cfRule type="expression" priority="5" dxfId="1">
      <formula>E7="Amber"</formula>
    </cfRule>
    <cfRule type="expression" priority="6" dxfId="2">
      <formula>E7="Red"</formula>
    </cfRule>
  </conditionalFormatting>
  <conditionalFormatting sqref="G7">
    <cfRule type="expression" priority="7" dxfId="0">
      <formula>G7="Green"</formula>
    </cfRule>
    <cfRule type="expression" priority="8" dxfId="1">
      <formula>G7="Amber"</formula>
    </cfRule>
    <cfRule type="expression" priority="9" dxfId="2">
      <formula>G7="Red"</formula>
    </cfRule>
  </conditionalFormatting>
  <conditionalFormatting sqref="I7">
    <cfRule type="expression" priority="10" dxfId="0">
      <formula>I7="Green"</formula>
    </cfRule>
    <cfRule type="expression" priority="11" dxfId="1">
      <formula>I7="Amber"</formula>
    </cfRule>
    <cfRule type="expression" priority="12" dxfId="2">
      <formula>I7="Red"</formula>
    </cfRule>
  </conditionalFormatting>
  <conditionalFormatting sqref="K7">
    <cfRule type="expression" priority="13" dxfId="0">
      <formula>K7="Green"</formula>
    </cfRule>
    <cfRule type="expression" priority="14" dxfId="1">
      <formula>K7="Amber"</formula>
    </cfRule>
    <cfRule type="expression" priority="15" dxfId="2">
      <formula>K7="Red"</formula>
    </cfRule>
  </conditionalFormatting>
  <conditionalFormatting sqref="M7">
    <cfRule type="expression" priority="16" dxfId="0">
      <formula>M7="Green"</formula>
    </cfRule>
    <cfRule type="expression" priority="17" dxfId="1">
      <formula>M7="Amber"</formula>
    </cfRule>
    <cfRule type="expression" priority="18" dxfId="2">
      <formula>M7="Red"</formula>
    </cfRule>
  </conditionalFormatting>
  <conditionalFormatting sqref="J22">
    <cfRule type="expression" priority="19" dxfId="0">
      <formula>J22="Green"</formula>
    </cfRule>
    <cfRule type="expression" priority="20" dxfId="1">
      <formula>J22="Amber"</formula>
    </cfRule>
    <cfRule type="expression" priority="21" dxfId="2">
      <formula>J22="Red"</formula>
    </cfRule>
  </conditionalFormatting>
  <pageMargins left="0.4" right="0.4" top="0.4" bottom="0.4" header="0.5" footer="0.5"/>
  <pageSetup orientation="landscape" paperSize="1" fitToHeight="1" fitToWidth="1"/>
  <headerFooter>
    <oddHeader/>
    <oddFooter>&amp;LNorthline Consumer Products  |  fictional sample  |  $000s&amp;RCONFIDENTIAL — portfolio sample</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D21"/>
  <sheetViews>
    <sheetView showGridLines="0" workbookViewId="0">
      <selection activeCell="A1" sqref="A1"/>
    </sheetView>
  </sheetViews>
  <sheetFormatPr baseColWidth="8" defaultRowHeight="15"/>
  <cols>
    <col width="3" customWidth="1" min="1" max="1"/>
    <col width="28" customWidth="1" min="2" max="2"/>
    <col width="18" customWidth="1" min="3" max="3"/>
    <col width="70" customWidth="1" min="4" max="4"/>
  </cols>
  <sheetData>
    <row r="2">
      <c r="B2" s="1" t="inlineStr">
        <is>
          <t>06  ·  Data Dictionary</t>
        </is>
      </c>
    </row>
    <row r="3">
      <c r="B3" s="3" t="inlineStr">
        <is>
          <t>Field definitions so another analyst can inherit the file.</t>
        </is>
      </c>
    </row>
    <row r="5">
      <c r="B5" s="17" t="inlineStr">
        <is>
          <t>Field</t>
        </is>
      </c>
      <c r="C5" s="17" t="inlineStr">
        <is>
          <t>Tab</t>
        </is>
      </c>
      <c r="D5" s="17" t="inlineStr">
        <is>
          <t>Definition</t>
        </is>
      </c>
    </row>
    <row r="6" ht="32" customHeight="1">
      <c r="B6" s="10" t="inlineStr">
        <is>
          <t>Close month</t>
        </is>
      </c>
      <c r="C6" s="11" t="inlineStr">
        <is>
          <t>01_Assumptions</t>
        </is>
      </c>
      <c r="D6" s="51" t="inlineStr">
        <is>
          <t>1–12 toggle. Labels the flash period and drives the one-pager banner.</t>
        </is>
      </c>
    </row>
    <row r="7" ht="32" customHeight="1">
      <c r="B7" s="10" t="inlineStr">
        <is>
          <t>Headlines 1–4 + Watch</t>
        </is>
      </c>
      <c r="C7" s="11" t="inlineStr">
        <is>
          <t>01_Assumptions</t>
        </is>
      </c>
      <c r="D7" s="51" t="inlineStr">
        <is>
          <t>ELT narrative bullets. Flow to 05_One_Pager.</t>
        </is>
      </c>
    </row>
    <row r="8" ht="32" customHeight="1">
      <c r="B8" s="10" t="inlineStr">
        <is>
          <t>RAG bands</t>
        </is>
      </c>
      <c r="C8" s="11" t="inlineStr">
        <is>
          <t>01_Assumptions</t>
        </is>
      </c>
      <c r="D8" s="51" t="inlineStr">
        <is>
          <t>Amber / Green relative bands by KPI. Direction H = higher-better, L = lower-better.</t>
        </is>
      </c>
    </row>
    <row r="9" ht="32" customHeight="1">
      <c r="B9" s="10" t="inlineStr">
        <is>
          <t>P&amp;L Actual / Budget / Forecast</t>
        </is>
      </c>
      <c r="C9" s="11" t="inlineStr">
        <is>
          <t>02_P&amp;L_Flash</t>
        </is>
      </c>
      <c r="D9" s="51" t="inlineStr">
        <is>
          <t>Close-month and YTD $000s. Yellow inputs for leaf lines; subtotals are formulas.</t>
        </is>
      </c>
    </row>
    <row r="10" ht="32" customHeight="1">
      <c r="B10" s="10" t="inlineStr">
        <is>
          <t>A vs B % / A vs F %</t>
        </is>
      </c>
      <c r="C10" s="11" t="inlineStr">
        <is>
          <t>02_P&amp;L_Flash</t>
        </is>
      </c>
      <c r="D10" s="51" t="inlineStr">
        <is>
          <t>(Actual − Plan) / |Plan|. Conditional formatting: green ≥0.5%, amber −2% to 0.5%, red &lt; −2%.</t>
        </is>
      </c>
    </row>
    <row r="11" ht="32" customHeight="1">
      <c r="B11" s="10" t="inlineStr">
        <is>
          <t>Gross profit / EBITDA / EBIT / NI</t>
        </is>
      </c>
      <c r="C11" s="11" t="inlineStr">
        <is>
          <t>02_P&amp;L_Flash</t>
        </is>
      </c>
      <c r="D11" s="51" t="inlineStr">
        <is>
          <t>Formula subtotals. Green-highlighted key rows.</t>
        </is>
      </c>
    </row>
    <row r="12" ht="32" customHeight="1">
      <c r="B12" s="10" t="inlineStr">
        <is>
          <t>Gross margin %</t>
        </is>
      </c>
      <c r="C12" s="11" t="inlineStr">
        <is>
          <t>02_P&amp;L_Flash</t>
        </is>
      </c>
      <c r="D12" s="51" t="inlineStr">
        <is>
          <t>Gross profit ÷ net revenue.</t>
        </is>
      </c>
    </row>
    <row r="13" ht="32" customHeight="1">
      <c r="B13" s="10" t="inlineStr">
        <is>
          <t>EBITDA margin %</t>
        </is>
      </c>
      <c r="C13" s="11" t="inlineStr">
        <is>
          <t>02_P&amp;L_Flash</t>
        </is>
      </c>
      <c r="D13" s="51" t="inlineStr">
        <is>
          <t>EBITDA ÷ net revenue — month and YTD.</t>
        </is>
      </c>
    </row>
    <row r="14" ht="32" customHeight="1">
      <c r="B14" s="10" t="inlineStr">
        <is>
          <t>Board KPIs</t>
        </is>
      </c>
      <c r="C14" s="11" t="inlineStr">
        <is>
          <t>03_KPIs</t>
        </is>
      </c>
      <c r="D14" s="51" t="inlineStr">
        <is>
          <t>Seven ELT KPIs: revenue, GM%, EBITDA, volume, OTIF, DSO, operating cash flow.</t>
        </is>
      </c>
    </row>
    <row r="15" ht="32" customHeight="1">
      <c r="B15" s="10" t="inlineStr">
        <is>
          <t>KPI RAG</t>
        </is>
      </c>
      <c r="C15" s="11" t="inlineStr">
        <is>
          <t>03_KPIs</t>
        </is>
      </c>
      <c r="D15" s="51" t="inlineStr">
        <is>
          <t>Green / Amber / Red from actual vs budget and Assumptions bands. Formula, not typed.</t>
        </is>
      </c>
    </row>
    <row r="16" ht="32" customHeight="1">
      <c r="B16" s="10" t="inlineStr">
        <is>
          <t>Callouts</t>
        </is>
      </c>
      <c r="C16" s="11" t="inlineStr">
        <is>
          <t>04_Callouts</t>
        </is>
      </c>
      <c r="D16" s="51" t="inlineStr">
        <is>
          <t>What went well, attention, decisions/asks, risks, forward look — yellow commentary.</t>
        </is>
      </c>
    </row>
    <row r="17" ht="32" customHeight="1">
      <c r="B17" s="10" t="inlineStr">
        <is>
          <t>One-Pager</t>
        </is>
      </c>
      <c r="C17" s="11" t="inlineStr">
        <is>
          <t>05_One_Pager</t>
        </is>
      </c>
      <c r="D17" s="51" t="inlineStr">
        <is>
          <t>Print-ready ELT page: KPI tiles, compact P&amp;L, headlines, callouts, RAG scoreboard, chart.</t>
        </is>
      </c>
    </row>
    <row r="18" ht="32" customHeight="1">
      <c r="B18" s="10" t="inlineStr">
        <is>
          <t>Units</t>
        </is>
      </c>
      <c r="C18" s="11" t="inlineStr">
        <is>
          <t>All</t>
        </is>
      </c>
      <c r="D18" s="51" t="inlineStr">
        <is>
          <t>Dollars in $000s. Rates in %. Volume in 000 cases. DSO in days.</t>
        </is>
      </c>
    </row>
    <row r="19" ht="32" customHeight="1">
      <c r="B19" s="10" t="inlineStr">
        <is>
          <t>Color convention</t>
        </is>
      </c>
      <c r="C19" s="11" t="inlineStr">
        <is>
          <t>All</t>
        </is>
      </c>
      <c r="D19" s="51" t="inlineStr">
        <is>
          <t>Yellow + blue font = inputs. Black font = formulas. Green/Amber/Red = RAG.</t>
        </is>
      </c>
    </row>
    <row r="21">
      <c r="B21" s="14" t="inlineStr">
        <is>
          <t>All sample numbers are fictional. Built for a public GitHub portfolio — no employer data.</t>
        </is>
      </c>
    </row>
  </sheetData>
  <pageMargins left="0.75" right="0.75" top="1" bottom="1" header="0.5" footer="0.5"/>
  <pageSetup orientation="landscape" paperSize="1" fitToHeight="1" fitToWidth="1"/>
  <headerFooter>
    <oddHeader/>
    <oddFooter>&amp;LNorthline Consumer Products  |  fictional sample  |  $000s&amp;RCONFIDENTIAL — portfolio sample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2026-09-11T19:01:19Z</dcterms:created>
  <dcterms:modified xsi:type="dcterms:W3CDTF">2026-09-11T19:01:19Z</dcterms:modified>
</cp:coreProperties>
</file>